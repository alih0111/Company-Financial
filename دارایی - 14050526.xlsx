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0\New folder (10)\"/>
    </mc:Choice>
  </mc:AlternateContent>
  <xr:revisionPtr revIDLastSave="0" documentId="13_ncr:1_{58C6A312-57AE-4748-A62F-B07B0752ED88}" xr6:coauthVersionLast="36" xr6:coauthVersionMax="47" xr10:uidLastSave="{00000000-0000-0000-0000-000000000000}"/>
  <bookViews>
    <workbookView xWindow="0" yWindow="0" windowWidth="23040" windowHeight="93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Sheet1!$A$2:$BS$2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90" i="2" l="1"/>
  <c r="D1090" i="2"/>
  <c r="C1089" i="2" l="1"/>
  <c r="D1089" i="2"/>
  <c r="C1088" i="2" l="1"/>
  <c r="D1088" i="2"/>
  <c r="C1087" i="2" l="1"/>
  <c r="D1087" i="2"/>
  <c r="BA10" i="1" l="1"/>
  <c r="BB10" i="1"/>
  <c r="C1086" i="2"/>
  <c r="D1086" i="2"/>
  <c r="C1085" i="2" l="1"/>
  <c r="D1085" i="2"/>
  <c r="H13" i="1"/>
  <c r="I13" i="1"/>
  <c r="J13" i="1"/>
  <c r="H9" i="1"/>
  <c r="I9" i="1"/>
  <c r="J9" i="1"/>
  <c r="J10" i="1"/>
  <c r="J14" i="1"/>
  <c r="C1084" i="2" l="1"/>
  <c r="D1084" i="2"/>
  <c r="AL10" i="1" l="1"/>
  <c r="AL6" i="1"/>
  <c r="AL14" i="1"/>
  <c r="AL11" i="1"/>
  <c r="AL12" i="1"/>
  <c r="AL13" i="1"/>
  <c r="AL9" i="1"/>
  <c r="C1083" i="2" l="1"/>
  <c r="D1083" i="2"/>
  <c r="C1082" i="2" l="1"/>
  <c r="D1082" i="2"/>
  <c r="BA12" i="1"/>
  <c r="C1081" i="2" l="1"/>
  <c r="D1081" i="2"/>
  <c r="C1080" i="2" l="1"/>
  <c r="D1080" i="2"/>
  <c r="BA6" i="1"/>
  <c r="BB6" i="1"/>
  <c r="N13" i="1"/>
  <c r="N6" i="1"/>
  <c r="P6" i="1" s="1"/>
  <c r="N12" i="1"/>
  <c r="R6" i="1"/>
  <c r="AT3" i="1"/>
  <c r="AT4" i="1"/>
  <c r="AT7" i="1"/>
  <c r="AT8" i="1"/>
  <c r="AT14" i="1"/>
  <c r="AT11" i="1"/>
  <c r="AT12" i="1"/>
  <c r="AT13" i="1"/>
  <c r="AT6" i="1"/>
  <c r="BC6" i="1" l="1"/>
  <c r="BD6" i="1" s="1"/>
  <c r="BG6" i="1"/>
  <c r="AW6" i="1"/>
  <c r="AV6" i="1"/>
  <c r="Q6" i="1"/>
  <c r="C1079" i="2"/>
  <c r="D1079" i="2"/>
  <c r="BF6" i="1" l="1"/>
  <c r="C1078" i="2"/>
  <c r="D1078" i="2"/>
  <c r="C1077" i="2" l="1"/>
  <c r="D1077" i="2"/>
  <c r="C1076" i="2" l="1"/>
  <c r="D1076" i="2"/>
  <c r="C1075" i="2" l="1"/>
  <c r="D1075" i="2"/>
  <c r="AV11" i="1"/>
  <c r="AW11" i="1" l="1"/>
  <c r="C1074" i="2"/>
  <c r="D1074" i="2"/>
  <c r="C1073" i="2" l="1"/>
  <c r="D1073" i="2"/>
  <c r="C1072" i="2" l="1"/>
  <c r="D1072" i="2"/>
  <c r="C1071" i="2" l="1"/>
  <c r="D1071" i="2"/>
  <c r="C1070" i="2" l="1"/>
  <c r="D1070" i="2"/>
  <c r="C1069" i="2" l="1"/>
  <c r="D1069" i="2"/>
  <c r="BB9" i="1" l="1"/>
  <c r="BA9" i="1"/>
  <c r="C1068" i="2"/>
  <c r="D1068" i="2"/>
  <c r="BG9" i="1" l="1"/>
  <c r="C1067" i="2"/>
  <c r="D1067" i="2"/>
  <c r="AT18" i="1"/>
  <c r="BC20" i="1" s="1"/>
  <c r="AT9" i="1"/>
  <c r="Z9" i="1"/>
  <c r="V9" i="1"/>
  <c r="X9" i="1" s="1"/>
  <c r="BC9" i="1" l="1"/>
  <c r="BD9" i="1" s="1"/>
  <c r="Y9" i="1"/>
  <c r="AW9" i="1"/>
  <c r="C1066" i="2"/>
  <c r="D1066" i="2"/>
  <c r="BF9" i="1" l="1"/>
  <c r="C1065" i="2"/>
  <c r="D1065" i="2"/>
  <c r="C1064" i="2" l="1"/>
  <c r="D1064" i="2"/>
  <c r="C1063" i="2" l="1"/>
  <c r="D1063" i="2"/>
  <c r="C1062" i="2" l="1"/>
  <c r="D1062" i="2"/>
  <c r="C1061" i="2" l="1"/>
  <c r="D1061" i="2"/>
  <c r="C1060" i="2" l="1"/>
  <c r="D1060" i="2"/>
  <c r="C1059" i="2" l="1"/>
  <c r="D1059" i="2"/>
  <c r="C1058" i="2" l="1"/>
  <c r="D1058" i="2"/>
  <c r="C1057" i="2" l="1"/>
  <c r="D1057" i="2"/>
  <c r="C1056" i="2" l="1"/>
  <c r="D1056" i="2"/>
  <c r="F8" i="1"/>
  <c r="F5" i="1"/>
  <c r="F4" i="1"/>
  <c r="H4" i="1" s="1"/>
  <c r="F7" i="1"/>
  <c r="F10" i="1"/>
  <c r="H10" i="1" l="1"/>
  <c r="I10" i="1"/>
  <c r="C1055" i="2"/>
  <c r="D1055" i="2"/>
  <c r="C1054" i="2" l="1"/>
  <c r="D1054" i="2"/>
  <c r="C1053" i="2" l="1"/>
  <c r="D1053" i="2"/>
  <c r="C1052" i="2" l="1"/>
  <c r="D1052" i="2"/>
  <c r="C1051" i="2" l="1"/>
  <c r="D1051" i="2"/>
  <c r="C1050" i="2" l="1"/>
  <c r="D1050" i="2"/>
  <c r="BB11" i="1" l="1"/>
  <c r="BA11" i="1"/>
  <c r="BC11" i="1"/>
  <c r="J11" i="1"/>
  <c r="BD11" i="1" l="1"/>
  <c r="BG11" i="1"/>
  <c r="BF11" i="1"/>
  <c r="C1049" i="2"/>
  <c r="D1049" i="2"/>
  <c r="C1048" i="2" l="1"/>
  <c r="D1048" i="2"/>
  <c r="C1047" i="2" l="1"/>
  <c r="D1047" i="2"/>
  <c r="C1046" i="2" l="1"/>
  <c r="D1046" i="2"/>
  <c r="C1045" i="2" l="1"/>
  <c r="D1045" i="2"/>
  <c r="C1044" i="2" l="1"/>
  <c r="D1044" i="2"/>
  <c r="C1043" i="2" l="1"/>
  <c r="D1043" i="2"/>
  <c r="C1042" i="2" l="1"/>
  <c r="D1042" i="2"/>
  <c r="C1041" i="2" l="1"/>
  <c r="D1041" i="2"/>
  <c r="C1040" i="2" l="1"/>
  <c r="D1040" i="2"/>
  <c r="C1039" i="2" l="1"/>
  <c r="D1039" i="2"/>
  <c r="C1038" i="2" l="1"/>
  <c r="D1038" i="2"/>
  <c r="C1037" i="2" l="1"/>
  <c r="D1037" i="2"/>
  <c r="C1036" i="2" l="1"/>
  <c r="D1036" i="2"/>
  <c r="C1035" i="2" l="1"/>
  <c r="D1035" i="2"/>
  <c r="C1034" i="2" l="1"/>
  <c r="D1034" i="2"/>
  <c r="C1033" i="2" l="1"/>
  <c r="D1033" i="2"/>
  <c r="C1032" i="2" l="1"/>
  <c r="D1032" i="2"/>
  <c r="C1031" i="2" l="1"/>
  <c r="D1031" i="2"/>
  <c r="C1030" i="2" l="1"/>
  <c r="D1030" i="2"/>
  <c r="C1029" i="2" l="1"/>
  <c r="D1029" i="2"/>
  <c r="C1028" i="2" l="1"/>
  <c r="D1028" i="2"/>
  <c r="C1027" i="2" l="1"/>
  <c r="D1027" i="2"/>
  <c r="C1026" i="2" l="1"/>
  <c r="D1026" i="2"/>
  <c r="C1025" i="2" l="1"/>
  <c r="D1025" i="2"/>
  <c r="C1024" i="2" l="1"/>
  <c r="D1024" i="2"/>
  <c r="C1023" i="2" l="1"/>
  <c r="D1023" i="2"/>
  <c r="C1022" i="2" l="1"/>
  <c r="D1022" i="2"/>
  <c r="C1021" i="2" l="1"/>
  <c r="D1021" i="2"/>
  <c r="C1020" i="2" l="1"/>
  <c r="D1020" i="2"/>
  <c r="C1019" i="2" l="1"/>
  <c r="D1019" i="2"/>
  <c r="C1018" i="2" l="1"/>
  <c r="D1018" i="2"/>
  <c r="C1017" i="2" l="1"/>
  <c r="D1017" i="2"/>
  <c r="C29" i="2" l="1"/>
  <c r="C1016" i="2"/>
  <c r="D1016" i="2"/>
  <c r="C1015" i="2" l="1"/>
  <c r="D1015" i="2"/>
  <c r="C1014" i="2" l="1"/>
  <c r="D1014" i="2"/>
  <c r="C1013" i="2" l="1"/>
  <c r="D1013" i="2"/>
  <c r="AP5" i="1"/>
  <c r="AL5" i="1"/>
  <c r="Z5" i="1"/>
  <c r="V5" i="1"/>
  <c r="R12" i="1"/>
  <c r="AN5" i="1" l="1"/>
  <c r="AO5" i="1"/>
  <c r="Y5" i="1"/>
  <c r="X5" i="1"/>
  <c r="BC13" i="1"/>
  <c r="BB12" i="1"/>
  <c r="BB14" i="1"/>
  <c r="BB5" i="1"/>
  <c r="BB7" i="1"/>
  <c r="BB4" i="1"/>
  <c r="BB8" i="1"/>
  <c r="BB3" i="1"/>
  <c r="BA14" i="1"/>
  <c r="BA5" i="1"/>
  <c r="BA7" i="1"/>
  <c r="BA4" i="1"/>
  <c r="BA8" i="1"/>
  <c r="BA3" i="1"/>
  <c r="BA13" i="1"/>
  <c r="BB13" i="1"/>
  <c r="BD13" i="1" l="1"/>
  <c r="C1012" i="2"/>
  <c r="D1012" i="2"/>
  <c r="C1011" i="2" l="1"/>
  <c r="D1011" i="2"/>
  <c r="C1010" i="2" l="1"/>
  <c r="D1010" i="2"/>
  <c r="C1009" i="2" l="1"/>
  <c r="D1009" i="2"/>
  <c r="C1008" i="2" l="1"/>
  <c r="D1008" i="2"/>
  <c r="C1007" i="2" l="1"/>
  <c r="D1007" i="2"/>
  <c r="C1006" i="2" l="1"/>
  <c r="D1006" i="2"/>
  <c r="C1005" i="2" l="1"/>
  <c r="D1005" i="2"/>
  <c r="C1004" i="2" l="1"/>
  <c r="D1004" i="2"/>
  <c r="C1003" i="2" l="1"/>
  <c r="D1003" i="2"/>
  <c r="AX5" i="1" l="1"/>
  <c r="AT5" i="1"/>
  <c r="C996" i="2"/>
  <c r="D996" i="2"/>
  <c r="C1002" i="2"/>
  <c r="D1002" i="2"/>
  <c r="AV5" i="1" l="1"/>
  <c r="AW5" i="1"/>
  <c r="C1001" i="2"/>
  <c r="D1001" i="2"/>
  <c r="C1000" i="2" l="1"/>
  <c r="D1000" i="2"/>
  <c r="C999" i="2" l="1"/>
  <c r="D999" i="2"/>
  <c r="C998" i="2"/>
  <c r="D998" i="2"/>
  <c r="C997" i="2"/>
  <c r="D997" i="2"/>
  <c r="C995" i="2"/>
  <c r="C994" i="2"/>
  <c r="C993" i="2"/>
  <c r="C992" i="2"/>
  <c r="D995" i="2" l="1"/>
  <c r="C116" i="2" l="1"/>
  <c r="D116" i="2"/>
  <c r="D994" i="2"/>
  <c r="BG5" i="1"/>
  <c r="J5" i="1"/>
  <c r="H5" i="1"/>
  <c r="R5" i="1"/>
  <c r="N5" i="1"/>
  <c r="Q5" i="1" l="1"/>
  <c r="BC5" i="1"/>
  <c r="P5" i="1"/>
  <c r="I5" i="1"/>
  <c r="D993" i="2"/>
  <c r="BD5" i="1" l="1"/>
  <c r="BF5" i="1"/>
  <c r="D992" i="2"/>
  <c r="C991" i="2" l="1"/>
  <c r="D991" i="2"/>
  <c r="C990" i="2" l="1"/>
  <c r="D990" i="2"/>
  <c r="C989" i="2" l="1"/>
  <c r="D989" i="2"/>
  <c r="C988" i="2" l="1"/>
  <c r="D988" i="2"/>
  <c r="C987" i="2" l="1"/>
  <c r="D987" i="2"/>
  <c r="C986" i="2" l="1"/>
  <c r="D986" i="2"/>
  <c r="C985" i="2" l="1"/>
  <c r="D985" i="2"/>
  <c r="C984" i="2" l="1"/>
  <c r="D984" i="2"/>
  <c r="C983" i="2" l="1"/>
  <c r="D983" i="2"/>
  <c r="C982" i="2" l="1"/>
  <c r="D982" i="2"/>
  <c r="C981" i="2" l="1"/>
  <c r="D981" i="2"/>
  <c r="C980" i="2" l="1"/>
  <c r="D980" i="2"/>
  <c r="C979" i="2" l="1"/>
  <c r="D979" i="2"/>
  <c r="C978" i="2" l="1"/>
  <c r="D978" i="2"/>
  <c r="C977" i="2" l="1"/>
  <c r="D977" i="2"/>
  <c r="C976" i="2" l="1"/>
  <c r="D976" i="2"/>
  <c r="C975" i="2" l="1"/>
  <c r="D975" i="2"/>
  <c r="D21" i="2" l="1"/>
  <c r="C21" i="2"/>
  <c r="D20" i="2"/>
  <c r="C20" i="2"/>
  <c r="D24" i="2"/>
  <c r="C24" i="2"/>
  <c r="D23" i="2"/>
  <c r="C23" i="2"/>
  <c r="C117" i="2"/>
  <c r="D117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2" i="2"/>
  <c r="D22" i="2"/>
  <c r="C25" i="2"/>
  <c r="D25" i="2"/>
  <c r="C26" i="2"/>
  <c r="D26" i="2"/>
  <c r="C27" i="2"/>
  <c r="D27" i="2"/>
  <c r="C28" i="2"/>
  <c r="D28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974" i="2"/>
  <c r="D974" i="2"/>
  <c r="C973" i="2" l="1"/>
  <c r="D973" i="2"/>
  <c r="C972" i="2" l="1"/>
  <c r="D972" i="2"/>
  <c r="C971" i="2" l="1"/>
  <c r="D971" i="2"/>
  <c r="C970" i="2" l="1"/>
  <c r="D970" i="2"/>
  <c r="C969" i="2" l="1"/>
  <c r="D969" i="2"/>
  <c r="C968" i="2" l="1"/>
  <c r="D968" i="2"/>
  <c r="C967" i="2" l="1"/>
  <c r="D967" i="2"/>
  <c r="C966" i="2" l="1"/>
  <c r="D966" i="2"/>
  <c r="C965" i="2" l="1"/>
  <c r="D965" i="2"/>
  <c r="C964" i="2" l="1"/>
  <c r="D964" i="2"/>
  <c r="AD4" i="1"/>
  <c r="AG4" i="1" s="1"/>
  <c r="N7" i="1"/>
  <c r="P7" i="1" s="1"/>
  <c r="R7" i="1"/>
  <c r="C963" i="2"/>
  <c r="D963" i="2"/>
  <c r="AL8" i="1"/>
  <c r="AL4" i="1"/>
  <c r="AO4" i="1" s="1"/>
  <c r="AP4" i="1"/>
  <c r="I4" i="1" l="1"/>
  <c r="Q7" i="1"/>
  <c r="AN4" i="1"/>
  <c r="C962" i="2"/>
  <c r="D962" i="2"/>
  <c r="C961" i="2" l="1"/>
  <c r="D961" i="2"/>
  <c r="C960" i="2" l="1"/>
  <c r="D960" i="2"/>
  <c r="C959" i="2" l="1"/>
  <c r="D959" i="2"/>
  <c r="C958" i="2" l="1"/>
  <c r="D958" i="2"/>
  <c r="C957" i="2" l="1"/>
  <c r="D957" i="2"/>
  <c r="C956" i="2" l="1"/>
  <c r="D956" i="2"/>
  <c r="C955" i="2" l="1"/>
  <c r="D955" i="2"/>
  <c r="C954" i="2" l="1"/>
  <c r="D954" i="2"/>
  <c r="C953" i="2" l="1"/>
  <c r="D953" i="2"/>
  <c r="Z4" i="1"/>
  <c r="V4" i="1"/>
  <c r="X4" i="1" s="1"/>
  <c r="Y4" i="1" l="1"/>
  <c r="C952" i="2"/>
  <c r="D952" i="2"/>
  <c r="C951" i="2" l="1"/>
  <c r="D951" i="2"/>
  <c r="C950" i="2"/>
  <c r="R4" i="1"/>
  <c r="AX4" i="1"/>
  <c r="N4" i="1"/>
  <c r="AV4" i="1" l="1"/>
  <c r="BC4" i="1"/>
  <c r="Q4" i="1"/>
  <c r="P4" i="1"/>
  <c r="BG4" i="1"/>
  <c r="D950" i="2"/>
  <c r="AW4" i="1"/>
  <c r="C949" i="2"/>
  <c r="D949" i="2"/>
  <c r="AD10" i="1"/>
  <c r="V10" i="1"/>
  <c r="R10" i="1"/>
  <c r="N10" i="1"/>
  <c r="H8" i="1"/>
  <c r="J8" i="1"/>
  <c r="N8" i="1"/>
  <c r="P8" i="1" s="1"/>
  <c r="R8" i="1"/>
  <c r="V8" i="1"/>
  <c r="X8" i="1" s="1"/>
  <c r="Z8" i="1"/>
  <c r="AD8" i="1"/>
  <c r="AG8" i="1" s="1"/>
  <c r="AH8" i="1"/>
  <c r="AN8" i="1"/>
  <c r="AP8" i="1"/>
  <c r="AX8" i="1"/>
  <c r="BO8" i="1"/>
  <c r="BQ8" i="1" s="1"/>
  <c r="F12" i="1"/>
  <c r="H12" i="1" s="1"/>
  <c r="J12" i="1"/>
  <c r="V12" i="1"/>
  <c r="X12" i="1" s="1"/>
  <c r="Z12" i="1"/>
  <c r="AD12" i="1"/>
  <c r="AH12" i="1"/>
  <c r="AP12" i="1"/>
  <c r="AX12" i="1"/>
  <c r="BO12" i="1"/>
  <c r="AT10" i="1"/>
  <c r="AP10" i="1"/>
  <c r="Z10" i="1"/>
  <c r="AX10" i="1"/>
  <c r="Q12" i="1" l="1"/>
  <c r="P12" i="1"/>
  <c r="BC8" i="1"/>
  <c r="BC10" i="1"/>
  <c r="BD10" i="1" s="1"/>
  <c r="BC12" i="1"/>
  <c r="BD12" i="1" s="1"/>
  <c r="AF8" i="1"/>
  <c r="BG12" i="1"/>
  <c r="AV12" i="1"/>
  <c r="AV8" i="1"/>
  <c r="AN12" i="1"/>
  <c r="AO12" i="1"/>
  <c r="I8" i="1"/>
  <c r="AO8" i="1"/>
  <c r="BR8" i="1"/>
  <c r="BF4" i="1"/>
  <c r="BD4" i="1"/>
  <c r="Y10" i="1"/>
  <c r="AG10" i="1"/>
  <c r="AW8" i="1"/>
  <c r="Q8" i="1"/>
  <c r="AW12" i="1"/>
  <c r="Q10" i="1"/>
  <c r="I12" i="1"/>
  <c r="BG8" i="1"/>
  <c r="Y8" i="1"/>
  <c r="AG12" i="1"/>
  <c r="AF12" i="1"/>
  <c r="BR12" i="1"/>
  <c r="BQ12" i="1"/>
  <c r="Y12" i="1"/>
  <c r="AW10" i="1"/>
  <c r="BG10" i="1"/>
  <c r="C947" i="2"/>
  <c r="D947" i="2"/>
  <c r="I7" i="1"/>
  <c r="C946" i="2"/>
  <c r="D946" i="2"/>
  <c r="C945" i="2"/>
  <c r="D945" i="2"/>
  <c r="C944" i="2"/>
  <c r="D944" i="2"/>
  <c r="C943" i="2"/>
  <c r="D943" i="2"/>
  <c r="J7" i="1"/>
  <c r="V7" i="1"/>
  <c r="X7" i="1" s="1"/>
  <c r="Z7" i="1"/>
  <c r="AD7" i="1"/>
  <c r="AL7" i="1"/>
  <c r="AP7" i="1"/>
  <c r="AX7" i="1"/>
  <c r="BO7" i="1"/>
  <c r="BR7" i="1" s="1"/>
  <c r="C942" i="2"/>
  <c r="D942" i="2"/>
  <c r="C941" i="2"/>
  <c r="D941" i="2"/>
  <c r="C940" i="2"/>
  <c r="D940" i="2"/>
  <c r="C939" i="2"/>
  <c r="D939" i="2"/>
  <c r="C938" i="2"/>
  <c r="D938" i="2"/>
  <c r="C937" i="2"/>
  <c r="D937" i="2"/>
  <c r="C936" i="2"/>
  <c r="D936" i="2"/>
  <c r="C935" i="2"/>
  <c r="D935" i="2"/>
  <c r="C934" i="2"/>
  <c r="D934" i="2"/>
  <c r="C933" i="2"/>
  <c r="D933" i="2"/>
  <c r="C932" i="2"/>
  <c r="D932" i="2"/>
  <c r="C931" i="2"/>
  <c r="D931" i="2"/>
  <c r="C930" i="2"/>
  <c r="D930" i="2"/>
  <c r="C929" i="2"/>
  <c r="D929" i="2"/>
  <c r="C928" i="2"/>
  <c r="D928" i="2"/>
  <c r="C927" i="2"/>
  <c r="D927" i="2"/>
  <c r="C926" i="2"/>
  <c r="D926" i="2"/>
  <c r="C925" i="2"/>
  <c r="D925" i="2"/>
  <c r="C924" i="2"/>
  <c r="D924" i="2"/>
  <c r="C923" i="2"/>
  <c r="D923" i="2"/>
  <c r="C922" i="2"/>
  <c r="D922" i="2"/>
  <c r="C921" i="2"/>
  <c r="D921" i="2"/>
  <c r="AS16" i="1"/>
  <c r="C920" i="2"/>
  <c r="D920" i="2"/>
  <c r="C919" i="2"/>
  <c r="D919" i="2"/>
  <c r="C918" i="2"/>
  <c r="D918" i="2"/>
  <c r="C917" i="2"/>
  <c r="D917" i="2"/>
  <c r="C916" i="2"/>
  <c r="D916" i="2"/>
  <c r="C915" i="2"/>
  <c r="D915" i="2"/>
  <c r="C914" i="2"/>
  <c r="D914" i="2"/>
  <c r="C913" i="2"/>
  <c r="D913" i="2"/>
  <c r="C912" i="2"/>
  <c r="D912" i="2"/>
  <c r="C910" i="2"/>
  <c r="D910" i="2"/>
  <c r="C911" i="2"/>
  <c r="D911" i="2"/>
  <c r="C909" i="2"/>
  <c r="D909" i="2"/>
  <c r="C908" i="2"/>
  <c r="D908" i="2"/>
  <c r="C907" i="2"/>
  <c r="D907" i="2"/>
  <c r="C906" i="2"/>
  <c r="D906" i="2"/>
  <c r="C905" i="2"/>
  <c r="D905" i="2"/>
  <c r="C904" i="2"/>
  <c r="D904" i="2"/>
  <c r="C903" i="2"/>
  <c r="D903" i="2"/>
  <c r="C902" i="2"/>
  <c r="D902" i="2"/>
  <c r="AX3" i="1"/>
  <c r="AX13" i="1"/>
  <c r="AP3" i="1"/>
  <c r="AP13" i="1"/>
  <c r="AP14" i="1"/>
  <c r="AH3" i="1"/>
  <c r="AH13" i="1"/>
  <c r="AH14" i="1"/>
  <c r="Z3" i="1"/>
  <c r="Z13" i="1"/>
  <c r="Z14" i="1"/>
  <c r="R3" i="1"/>
  <c r="R13" i="1"/>
  <c r="R14" i="1"/>
  <c r="J3" i="1"/>
  <c r="C901" i="2"/>
  <c r="D901" i="2"/>
  <c r="C900" i="2"/>
  <c r="D900" i="2"/>
  <c r="C899" i="2"/>
  <c r="D899" i="2"/>
  <c r="C898" i="2"/>
  <c r="D898" i="2"/>
  <c r="C897" i="2"/>
  <c r="D897" i="2"/>
  <c r="C896" i="2"/>
  <c r="D896" i="2"/>
  <c r="C895" i="2"/>
  <c r="D895" i="2"/>
  <c r="C894" i="2"/>
  <c r="D894" i="2"/>
  <c r="C893" i="2"/>
  <c r="D893" i="2"/>
  <c r="C892" i="2"/>
  <c r="D892" i="2"/>
  <c r="C891" i="2"/>
  <c r="D891" i="2"/>
  <c r="C890" i="2"/>
  <c r="D890" i="2"/>
  <c r="C889" i="2"/>
  <c r="D889" i="2"/>
  <c r="C888" i="2"/>
  <c r="D888" i="2"/>
  <c r="C887" i="2"/>
  <c r="D887" i="2"/>
  <c r="C886" i="2"/>
  <c r="D886" i="2"/>
  <c r="C885" i="2"/>
  <c r="D885" i="2"/>
  <c r="C884" i="2"/>
  <c r="D884" i="2"/>
  <c r="C883" i="2"/>
  <c r="D883" i="2"/>
  <c r="C882" i="2"/>
  <c r="D882" i="2"/>
  <c r="C881" i="2"/>
  <c r="D881" i="2"/>
  <c r="C880" i="2"/>
  <c r="D880" i="2"/>
  <c r="C879" i="2"/>
  <c r="D879" i="2"/>
  <c r="C878" i="2"/>
  <c r="D878" i="2"/>
  <c r="C877" i="2"/>
  <c r="D877" i="2"/>
  <c r="C876" i="2"/>
  <c r="D876" i="2"/>
  <c r="C875" i="2"/>
  <c r="D875" i="2"/>
  <c r="C874" i="2"/>
  <c r="D874" i="2"/>
  <c r="C873" i="2"/>
  <c r="D873" i="2"/>
  <c r="C872" i="2"/>
  <c r="D872" i="2"/>
  <c r="C871" i="2"/>
  <c r="D871" i="2"/>
  <c r="C870" i="2"/>
  <c r="D870" i="2"/>
  <c r="C869" i="2"/>
  <c r="D869" i="2"/>
  <c r="C867" i="2"/>
  <c r="D867" i="2"/>
  <c r="C868" i="2"/>
  <c r="D868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52" i="2"/>
  <c r="D852" i="2"/>
  <c r="C853" i="2"/>
  <c r="D853" i="2"/>
  <c r="C854" i="2"/>
  <c r="D854" i="2"/>
  <c r="C855" i="2"/>
  <c r="D855" i="2"/>
  <c r="C851" i="2"/>
  <c r="D851" i="2"/>
  <c r="C850" i="2"/>
  <c r="D850" i="2"/>
  <c r="C849" i="2"/>
  <c r="D849" i="2"/>
  <c r="C848" i="2"/>
  <c r="D848" i="2"/>
  <c r="C847" i="2"/>
  <c r="D847" i="2"/>
  <c r="C846" i="2"/>
  <c r="D846" i="2"/>
  <c r="C845" i="2"/>
  <c r="D845" i="2"/>
  <c r="C844" i="2"/>
  <c r="D844" i="2"/>
  <c r="C843" i="2"/>
  <c r="D843" i="2"/>
  <c r="C842" i="2"/>
  <c r="D842" i="2"/>
  <c r="C841" i="2"/>
  <c r="D841" i="2"/>
  <c r="C840" i="2"/>
  <c r="D840" i="2"/>
  <c r="C839" i="2"/>
  <c r="D839" i="2"/>
  <c r="C836" i="2"/>
  <c r="D836" i="2"/>
  <c r="C837" i="2"/>
  <c r="D837" i="2"/>
  <c r="C838" i="2"/>
  <c r="D838" i="2"/>
  <c r="C835" i="2"/>
  <c r="D835" i="2"/>
  <c r="C834" i="2"/>
  <c r="D834" i="2"/>
  <c r="C833" i="2"/>
  <c r="D833" i="2"/>
  <c r="C832" i="2"/>
  <c r="D832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25" i="2"/>
  <c r="D825" i="2"/>
  <c r="C824" i="2"/>
  <c r="D824" i="2"/>
  <c r="C823" i="2"/>
  <c r="D823" i="2"/>
  <c r="C822" i="2"/>
  <c r="D822" i="2"/>
  <c r="C821" i="2"/>
  <c r="D821" i="2"/>
  <c r="C820" i="2"/>
  <c r="D820" i="2"/>
  <c r="C819" i="2"/>
  <c r="D819" i="2"/>
  <c r="C818" i="2"/>
  <c r="D818" i="2"/>
  <c r="C817" i="2"/>
  <c r="D817" i="2"/>
  <c r="C816" i="2"/>
  <c r="D816" i="2"/>
  <c r="C815" i="2"/>
  <c r="D815" i="2"/>
  <c r="C814" i="2"/>
  <c r="D814" i="2"/>
  <c r="C813" i="2"/>
  <c r="D813" i="2"/>
  <c r="C812" i="2"/>
  <c r="D812" i="2"/>
  <c r="C811" i="2"/>
  <c r="D811" i="2"/>
  <c r="P13" i="1"/>
  <c r="X13" i="1"/>
  <c r="AF13" i="1"/>
  <c r="AN13" i="1"/>
  <c r="AV13" i="1"/>
  <c r="C810" i="2"/>
  <c r="D810" i="2"/>
  <c r="C809" i="2"/>
  <c r="D809" i="2"/>
  <c r="C808" i="2"/>
  <c r="D808" i="2"/>
  <c r="C807" i="2"/>
  <c r="D807" i="2"/>
  <c r="C806" i="2"/>
  <c r="D806" i="2"/>
  <c r="C805" i="2"/>
  <c r="D805" i="2"/>
  <c r="C804" i="2"/>
  <c r="D804" i="2"/>
  <c r="C803" i="2"/>
  <c r="D803" i="2"/>
  <c r="C802" i="2"/>
  <c r="D802" i="2"/>
  <c r="C801" i="2"/>
  <c r="D801" i="2"/>
  <c r="C800" i="2"/>
  <c r="D800" i="2"/>
  <c r="C799" i="2"/>
  <c r="D799" i="2"/>
  <c r="C798" i="2"/>
  <c r="D798" i="2"/>
  <c r="C797" i="2"/>
  <c r="D797" i="2"/>
  <c r="C796" i="2"/>
  <c r="D796" i="2"/>
  <c r="C795" i="2"/>
  <c r="D795" i="2"/>
  <c r="C794" i="2"/>
  <c r="D794" i="2"/>
  <c r="C793" i="2"/>
  <c r="D793" i="2"/>
  <c r="C792" i="2"/>
  <c r="D792" i="2"/>
  <c r="C791" i="2"/>
  <c r="D791" i="2"/>
  <c r="C790" i="2"/>
  <c r="D790" i="2"/>
  <c r="BO3" i="1"/>
  <c r="BQ3" i="1" s="1"/>
  <c r="F14" i="1"/>
  <c r="N14" i="1"/>
  <c r="Q14" i="1" s="1"/>
  <c r="V14" i="1"/>
  <c r="Y14" i="1" s="1"/>
  <c r="AD14" i="1"/>
  <c r="AF14" i="1" s="1"/>
  <c r="AO14" i="1"/>
  <c r="C787" i="2"/>
  <c r="D787" i="2"/>
  <c r="C788" i="2"/>
  <c r="D788" i="2"/>
  <c r="C789" i="2"/>
  <c r="D789" i="2"/>
  <c r="C786" i="2"/>
  <c r="D786" i="2"/>
  <c r="C785" i="2"/>
  <c r="D785" i="2"/>
  <c r="C784" i="2"/>
  <c r="D784" i="2"/>
  <c r="C783" i="2"/>
  <c r="D783" i="2"/>
  <c r="C782" i="2"/>
  <c r="D782" i="2"/>
  <c r="C781" i="2"/>
  <c r="D781" i="2"/>
  <c r="C780" i="2"/>
  <c r="D780" i="2"/>
  <c r="C779" i="2"/>
  <c r="D779" i="2"/>
  <c r="C778" i="2"/>
  <c r="D778" i="2"/>
  <c r="C777" i="2"/>
  <c r="D777" i="2"/>
  <c r="C776" i="2"/>
  <c r="D776" i="2"/>
  <c r="C775" i="2"/>
  <c r="D775" i="2"/>
  <c r="C774" i="2"/>
  <c r="D774" i="2"/>
  <c r="C773" i="2"/>
  <c r="D773" i="2"/>
  <c r="C772" i="2"/>
  <c r="D772" i="2"/>
  <c r="C770" i="2"/>
  <c r="D770" i="2"/>
  <c r="C771" i="2"/>
  <c r="D771" i="2"/>
  <c r="C769" i="2"/>
  <c r="D769" i="2"/>
  <c r="C768" i="2"/>
  <c r="D768" i="2"/>
  <c r="C767" i="2"/>
  <c r="D767" i="2"/>
  <c r="C766" i="2"/>
  <c r="D766" i="2"/>
  <c r="C765" i="2"/>
  <c r="D765" i="2"/>
  <c r="C764" i="2"/>
  <c r="D764" i="2"/>
  <c r="C763" i="2"/>
  <c r="D763" i="2"/>
  <c r="C762" i="2"/>
  <c r="D762" i="2"/>
  <c r="C761" i="2"/>
  <c r="D761" i="2"/>
  <c r="C760" i="2"/>
  <c r="D760" i="2"/>
  <c r="F3" i="1"/>
  <c r="N3" i="1"/>
  <c r="Q3" i="1" s="1"/>
  <c r="V3" i="1"/>
  <c r="Y3" i="1" s="1"/>
  <c r="AD3" i="1"/>
  <c r="AG3" i="1" s="1"/>
  <c r="AL3" i="1"/>
  <c r="AN3" i="1" s="1"/>
  <c r="C759" i="2"/>
  <c r="D759" i="2"/>
  <c r="C758" i="2"/>
  <c r="D758" i="2"/>
  <c r="C757" i="2"/>
  <c r="D757" i="2"/>
  <c r="C756" i="2"/>
  <c r="D756" i="2"/>
  <c r="C755" i="2"/>
  <c r="D755" i="2"/>
  <c r="C754" i="2"/>
  <c r="D754" i="2"/>
  <c r="C753" i="2"/>
  <c r="D753" i="2"/>
  <c r="C752" i="2"/>
  <c r="D752" i="2"/>
  <c r="C751" i="2"/>
  <c r="D751" i="2"/>
  <c r="C750" i="2"/>
  <c r="D750" i="2"/>
  <c r="C749" i="2"/>
  <c r="D749" i="2"/>
  <c r="C748" i="2"/>
  <c r="D748" i="2"/>
  <c r="C747" i="2"/>
  <c r="D747" i="2"/>
  <c r="C746" i="2"/>
  <c r="D746" i="2"/>
  <c r="C745" i="2"/>
  <c r="D745" i="2"/>
  <c r="C744" i="2"/>
  <c r="D744" i="2"/>
  <c r="C743" i="2"/>
  <c r="D743" i="2"/>
  <c r="C742" i="2"/>
  <c r="D742" i="2"/>
  <c r="C741" i="2"/>
  <c r="D741" i="2"/>
  <c r="C740" i="2"/>
  <c r="D740" i="2"/>
  <c r="C739" i="2"/>
  <c r="D739" i="2"/>
  <c r="C738" i="2"/>
  <c r="D738" i="2"/>
  <c r="C737" i="2"/>
  <c r="D737" i="2"/>
  <c r="C736" i="2"/>
  <c r="D736" i="2"/>
  <c r="C735" i="2"/>
  <c r="D735" i="2"/>
  <c r="C734" i="2"/>
  <c r="D734" i="2"/>
  <c r="C733" i="2"/>
  <c r="D733" i="2"/>
  <c r="C731" i="2"/>
  <c r="D731" i="2"/>
  <c r="C732" i="2"/>
  <c r="D732" i="2"/>
  <c r="C730" i="2"/>
  <c r="D730" i="2"/>
  <c r="C729" i="2"/>
  <c r="D729" i="2"/>
  <c r="C728" i="2"/>
  <c r="D728" i="2"/>
  <c r="C727" i="2"/>
  <c r="D727" i="2"/>
  <c r="C726" i="2"/>
  <c r="D726" i="2"/>
  <c r="C725" i="2"/>
  <c r="D725" i="2"/>
  <c r="C724" i="2"/>
  <c r="D724" i="2"/>
  <c r="C723" i="2"/>
  <c r="D723" i="2"/>
  <c r="C722" i="2"/>
  <c r="D722" i="2"/>
  <c r="C721" i="2"/>
  <c r="D721" i="2"/>
  <c r="C720" i="2"/>
  <c r="D720" i="2"/>
  <c r="C719" i="2"/>
  <c r="D719" i="2"/>
  <c r="C718" i="2"/>
  <c r="D718" i="2"/>
  <c r="C717" i="2"/>
  <c r="D717" i="2"/>
  <c r="C716" i="2"/>
  <c r="D716" i="2"/>
  <c r="C715" i="2"/>
  <c r="D715" i="2"/>
  <c r="C714" i="2"/>
  <c r="D714" i="2"/>
  <c r="C713" i="2"/>
  <c r="D713" i="2"/>
  <c r="C712" i="2"/>
  <c r="D712" i="2"/>
  <c r="C711" i="2"/>
  <c r="D711" i="2"/>
  <c r="C710" i="2"/>
  <c r="D710" i="2"/>
  <c r="C709" i="2"/>
  <c r="D709" i="2"/>
  <c r="C708" i="2"/>
  <c r="D708" i="2"/>
  <c r="C707" i="2"/>
  <c r="D707" i="2"/>
  <c r="C706" i="2"/>
  <c r="D706" i="2"/>
  <c r="C705" i="2"/>
  <c r="D705" i="2"/>
  <c r="C704" i="2"/>
  <c r="D704" i="2"/>
  <c r="C703" i="2"/>
  <c r="D703" i="2"/>
  <c r="E16" i="1"/>
  <c r="C702" i="2"/>
  <c r="D702" i="2"/>
  <c r="C701" i="2"/>
  <c r="D701" i="2"/>
  <c r="C700" i="2"/>
  <c r="D700" i="2"/>
  <c r="C699" i="2"/>
  <c r="D699" i="2"/>
  <c r="C698" i="2"/>
  <c r="D698" i="2"/>
  <c r="C697" i="2"/>
  <c r="D697" i="2"/>
  <c r="C696" i="2"/>
  <c r="D696" i="2"/>
  <c r="C695" i="2"/>
  <c r="D695" i="2"/>
  <c r="C694" i="2"/>
  <c r="D694" i="2"/>
  <c r="C693" i="2"/>
  <c r="D693" i="2"/>
  <c r="C692" i="2"/>
  <c r="D692" i="2"/>
  <c r="C691" i="2"/>
  <c r="D691" i="2"/>
  <c r="C690" i="2"/>
  <c r="D690" i="2"/>
  <c r="C689" i="2"/>
  <c r="D689" i="2"/>
  <c r="C688" i="2"/>
  <c r="D688" i="2"/>
  <c r="C687" i="2"/>
  <c r="D687" i="2"/>
  <c r="C686" i="2"/>
  <c r="D686" i="2"/>
  <c r="C685" i="2"/>
  <c r="D685" i="2"/>
  <c r="C684" i="2"/>
  <c r="D684" i="2"/>
  <c r="C683" i="2"/>
  <c r="D683" i="2"/>
  <c r="C682" i="2"/>
  <c r="D682" i="2"/>
  <c r="C681" i="2"/>
  <c r="D681" i="2"/>
  <c r="C680" i="2"/>
  <c r="D680" i="2"/>
  <c r="C679" i="2"/>
  <c r="D679" i="2"/>
  <c r="C678" i="2"/>
  <c r="D678" i="2"/>
  <c r="C677" i="2"/>
  <c r="D677" i="2"/>
  <c r="C676" i="2"/>
  <c r="D676" i="2"/>
  <c r="C675" i="2"/>
  <c r="D675" i="2"/>
  <c r="C674" i="2"/>
  <c r="D674" i="2"/>
  <c r="C673" i="2"/>
  <c r="D673" i="2"/>
  <c r="C672" i="2"/>
  <c r="D672" i="2"/>
  <c r="C671" i="2"/>
  <c r="D671" i="2"/>
  <c r="C670" i="2"/>
  <c r="D670" i="2"/>
  <c r="C669" i="2"/>
  <c r="D669" i="2"/>
  <c r="C668" i="2"/>
  <c r="D668" i="2"/>
  <c r="C667" i="2"/>
  <c r="D667" i="2"/>
  <c r="C666" i="2"/>
  <c r="D666" i="2"/>
  <c r="C665" i="2"/>
  <c r="D665" i="2"/>
  <c r="C664" i="2"/>
  <c r="D664" i="2"/>
  <c r="C663" i="2"/>
  <c r="D663" i="2"/>
  <c r="C662" i="2"/>
  <c r="D662" i="2"/>
  <c r="C661" i="2"/>
  <c r="D661" i="2"/>
  <c r="C660" i="2"/>
  <c r="D660" i="2"/>
  <c r="C659" i="2"/>
  <c r="D659" i="2"/>
  <c r="C658" i="2"/>
  <c r="D658" i="2"/>
  <c r="C657" i="2"/>
  <c r="D657" i="2"/>
  <c r="C656" i="2"/>
  <c r="D656" i="2"/>
  <c r="C655" i="2"/>
  <c r="D655" i="2"/>
  <c r="C653" i="2"/>
  <c r="D653" i="2"/>
  <c r="C654" i="2"/>
  <c r="D654" i="2"/>
  <c r="C652" i="2"/>
  <c r="D652" i="2"/>
  <c r="C651" i="2"/>
  <c r="D651" i="2"/>
  <c r="C650" i="2"/>
  <c r="D650" i="2"/>
  <c r="C649" i="2"/>
  <c r="D649" i="2"/>
  <c r="C648" i="2"/>
  <c r="D648" i="2"/>
  <c r="C647" i="2"/>
  <c r="D647" i="2"/>
  <c r="C646" i="2"/>
  <c r="D646" i="2"/>
  <c r="C645" i="2"/>
  <c r="D645" i="2"/>
  <c r="C644" i="2"/>
  <c r="D644" i="2"/>
  <c r="C643" i="2"/>
  <c r="D643" i="2"/>
  <c r="C642" i="2"/>
  <c r="D642" i="2"/>
  <c r="C641" i="2"/>
  <c r="D641" i="2"/>
  <c r="C640" i="2"/>
  <c r="D640" i="2"/>
  <c r="C639" i="2"/>
  <c r="D639" i="2"/>
  <c r="C638" i="2"/>
  <c r="D638" i="2"/>
  <c r="C637" i="2"/>
  <c r="D637" i="2"/>
  <c r="C636" i="2"/>
  <c r="D636" i="2"/>
  <c r="C635" i="2"/>
  <c r="D635" i="2"/>
  <c r="AG13" i="1"/>
  <c r="BQ13" i="1"/>
  <c r="Y13" i="1"/>
  <c r="Q13" i="1"/>
  <c r="BI16" i="1"/>
  <c r="I14" i="1" l="1"/>
  <c r="H14" i="1"/>
  <c r="BF10" i="1"/>
  <c r="AT16" i="1"/>
  <c r="I3" i="1"/>
  <c r="BF8" i="1"/>
  <c r="BD8" i="1"/>
  <c r="BC3" i="1"/>
  <c r="BC7" i="1"/>
  <c r="BC14" i="1"/>
  <c r="AW3" i="1"/>
  <c r="BF13" i="1"/>
  <c r="AV7" i="1"/>
  <c r="AO7" i="1"/>
  <c r="BF12" i="1"/>
  <c r="AW7" i="1"/>
  <c r="BQ7" i="1"/>
  <c r="Y7" i="1"/>
  <c r="BG7" i="1"/>
  <c r="AN7" i="1"/>
  <c r="AG7" i="1"/>
  <c r="H7" i="1"/>
  <c r="BR13" i="1"/>
  <c r="BR3" i="1"/>
  <c r="AW14" i="1"/>
  <c r="AN14" i="1"/>
  <c r="X14" i="1"/>
  <c r="X3" i="1"/>
  <c r="H3" i="1"/>
  <c r="P14" i="1"/>
  <c r="AF3" i="1"/>
  <c r="P3" i="1"/>
  <c r="AV3" i="1"/>
  <c r="AG14" i="1"/>
  <c r="BG3" i="1"/>
  <c r="AO3" i="1"/>
  <c r="BG13" i="1"/>
  <c r="AW13" i="1"/>
  <c r="AO13" i="1"/>
  <c r="BC23" i="1" l="1"/>
  <c r="AU11" i="1"/>
  <c r="AU6" i="1"/>
  <c r="AT20" i="1"/>
  <c r="AU9" i="1"/>
  <c r="AU12" i="1"/>
  <c r="BC16" i="1"/>
  <c r="BC21" i="1" s="1"/>
  <c r="BC24" i="1"/>
  <c r="BF7" i="1"/>
  <c r="BD7" i="1"/>
  <c r="BF14" i="1"/>
  <c r="BD3" i="1"/>
  <c r="BF3" i="1"/>
  <c r="BC19" i="1" l="1"/>
  <c r="BD25" i="1"/>
  <c r="BE9" i="1"/>
  <c r="BE6" i="1"/>
  <c r="BE11" i="1"/>
  <c r="BD24" i="1"/>
  <c r="BD23" i="1"/>
  <c r="AR16" i="1"/>
  <c r="AK16" i="1"/>
  <c r="AJ16" i="1"/>
  <c r="AC16" i="1"/>
  <c r="AB16" i="1"/>
  <c r="U16" i="1"/>
  <c r="M16" i="1"/>
  <c r="L16" i="1"/>
  <c r="D16" i="1"/>
  <c r="T16" i="1" l="1"/>
  <c r="AW16" i="1" l="1"/>
  <c r="AO16" i="1"/>
  <c r="Y16" i="1"/>
  <c r="AG16" i="1"/>
  <c r="I16" i="1"/>
  <c r="N16" i="1"/>
  <c r="O6" i="1" s="1"/>
  <c r="F16" i="1"/>
  <c r="AD16" i="1"/>
  <c r="AL16" i="1"/>
  <c r="AM5" i="1" l="1"/>
  <c r="G5" i="1"/>
  <c r="O5" i="1"/>
  <c r="AU5" i="1"/>
  <c r="O7" i="1"/>
  <c r="G10" i="1"/>
  <c r="AE10" i="1"/>
  <c r="AE4" i="1"/>
  <c r="AE12" i="1"/>
  <c r="AE7" i="1"/>
  <c r="AM10" i="1"/>
  <c r="AM4" i="1"/>
  <c r="AM12" i="1"/>
  <c r="AM7" i="1"/>
  <c r="AU13" i="1"/>
  <c r="AU4" i="1"/>
  <c r="AU8" i="1"/>
  <c r="AU10" i="1"/>
  <c r="AU7" i="1"/>
  <c r="AU14" i="1"/>
  <c r="O10" i="1"/>
  <c r="O4" i="1"/>
  <c r="AM8" i="1"/>
  <c r="AE8" i="1"/>
  <c r="G12" i="1"/>
  <c r="G8" i="1"/>
  <c r="O12" i="1"/>
  <c r="O8" i="1"/>
  <c r="G7" i="1"/>
  <c r="AM14" i="1"/>
  <c r="O14" i="1"/>
  <c r="O3" i="1"/>
  <c r="G14" i="1"/>
  <c r="AE14" i="1"/>
  <c r="BO14" i="1" s="1"/>
  <c r="G3" i="1"/>
  <c r="AU3" i="1"/>
  <c r="AE3" i="1"/>
  <c r="AM3" i="1"/>
  <c r="AE13" i="1"/>
  <c r="AM13" i="1"/>
  <c r="O13" i="1"/>
  <c r="G13" i="1"/>
  <c r="Q16" i="1"/>
  <c r="AO17" i="1"/>
  <c r="AG17" i="1"/>
  <c r="Q17" i="1"/>
  <c r="I17" i="1"/>
  <c r="BQ14" i="1" l="1"/>
  <c r="BR14" i="1"/>
  <c r="AE16" i="1"/>
  <c r="AM16" i="1"/>
  <c r="O16" i="1"/>
  <c r="AU16" i="1"/>
  <c r="G16" i="1"/>
  <c r="BC18" i="1" l="1"/>
  <c r="BE5" i="1"/>
  <c r="BE7" i="1"/>
  <c r="BE10" i="1"/>
  <c r="BE12" i="1"/>
  <c r="BE8" i="1"/>
  <c r="BE4" i="1"/>
  <c r="C948" i="2"/>
  <c r="D948" i="2"/>
  <c r="BE3" i="1"/>
  <c r="BE14" i="1"/>
  <c r="BE13" i="1"/>
  <c r="BE20" i="1"/>
  <c r="V16" i="1"/>
  <c r="W5" i="1" l="1"/>
  <c r="W9" i="1"/>
  <c r="BC17" i="1"/>
  <c r="W10" i="1"/>
  <c r="W12" i="1"/>
  <c r="W8" i="1"/>
  <c r="W7" i="1"/>
  <c r="W14" i="1"/>
  <c r="W3" i="1"/>
  <c r="W13" i="1"/>
  <c r="Y17" i="1"/>
  <c r="BN16" i="1"/>
  <c r="BM16" i="1"/>
  <c r="W16" i="1" l="1"/>
  <c r="BO16" i="1"/>
  <c r="BP12" i="1" l="1"/>
  <c r="BP8" i="1"/>
  <c r="BP7" i="1"/>
  <c r="BP3" i="1"/>
  <c r="BP13" i="1"/>
  <c r="BP14" i="1"/>
  <c r="BQ19" i="1"/>
  <c r="BQ20" i="1"/>
  <c r="BR16" i="1"/>
  <c r="BM20" i="1"/>
  <c r="BM21" i="1"/>
  <c r="BM22" i="1" s="1"/>
  <c r="BP16" i="1" l="1"/>
  <c r="BA16" i="1" l="1"/>
  <c r="BB16" i="1"/>
  <c r="BD16" i="1" l="1"/>
  <c r="AT17" i="1"/>
  <c r="N17" i="1"/>
  <c r="AL17" i="1"/>
  <c r="AD17" i="1"/>
  <c r="V17" i="1"/>
  <c r="F17" i="1"/>
  <c r="BF16" i="1"/>
  <c r="BF17" i="1"/>
  <c r="BE16" i="1" l="1"/>
  <c r="BE21" i="1" s="1"/>
  <c r="AW17" i="1"/>
</calcChain>
</file>

<file path=xl/sharedStrings.xml><?xml version="1.0" encoding="utf-8"?>
<sst xmlns="http://schemas.openxmlformats.org/spreadsheetml/2006/main" count="1533" uniqueCount="1215">
  <si>
    <t>سهام</t>
  </si>
  <si>
    <t>بابا</t>
  </si>
  <si>
    <t>مامان</t>
  </si>
  <si>
    <t>رضا</t>
  </si>
  <si>
    <t>وحیده</t>
  </si>
  <si>
    <t>فاطمه</t>
  </si>
  <si>
    <t>علی</t>
  </si>
  <si>
    <t>گشان</t>
  </si>
  <si>
    <t>جمع کل</t>
  </si>
  <si>
    <t>تعداد</t>
  </si>
  <si>
    <t>بهای تمام شده</t>
  </si>
  <si>
    <t>ارزش</t>
  </si>
  <si>
    <t>قیمت</t>
  </si>
  <si>
    <t>درصد سود</t>
  </si>
  <si>
    <t>درصد از کل</t>
  </si>
  <si>
    <t>بهترین حالت فردایی</t>
  </si>
  <si>
    <t>بدترین حالت فردایی</t>
  </si>
  <si>
    <t>وجیه</t>
  </si>
  <si>
    <t>آورده</t>
  </si>
  <si>
    <t>مانده</t>
  </si>
  <si>
    <t>سود</t>
  </si>
  <si>
    <t>جمع</t>
  </si>
  <si>
    <t>مقدار سود</t>
  </si>
  <si>
    <t>حدود قیمت خرید سهم</t>
  </si>
  <si>
    <t>مانده حساب</t>
  </si>
  <si>
    <t>سود نقدی دریافتی</t>
  </si>
  <si>
    <t>ردیف</t>
  </si>
  <si>
    <t>درصد</t>
  </si>
  <si>
    <t>تاریخ</t>
  </si>
  <si>
    <t>دارایی</t>
  </si>
  <si>
    <t>1400/05/17</t>
  </si>
  <si>
    <t>1400/05/18</t>
  </si>
  <si>
    <t>1400/05/19</t>
  </si>
  <si>
    <t>1400/05/20</t>
  </si>
  <si>
    <t>تغییر</t>
  </si>
  <si>
    <t>1400/05/23</t>
  </si>
  <si>
    <t>1400/05/24</t>
  </si>
  <si>
    <t>1400/05/31</t>
  </si>
  <si>
    <t>1400/06/01</t>
  </si>
  <si>
    <t>1400/06/02</t>
  </si>
  <si>
    <t>1400/06/03</t>
  </si>
  <si>
    <t>1400/06/06</t>
  </si>
  <si>
    <t>1400/06/07</t>
  </si>
  <si>
    <t>1400/06/08</t>
  </si>
  <si>
    <t>1400/06/09</t>
  </si>
  <si>
    <t>1400/06/10</t>
  </si>
  <si>
    <t>1400/06/13</t>
  </si>
  <si>
    <t>1400/06/14</t>
  </si>
  <si>
    <t>1400/06/15</t>
  </si>
  <si>
    <t>1400/06/16</t>
  </si>
  <si>
    <t>1400/06/17</t>
  </si>
  <si>
    <t>1400/06/20</t>
  </si>
  <si>
    <t>1400/06/21</t>
  </si>
  <si>
    <t>1400/06/22</t>
  </si>
  <si>
    <t>1400/06/23</t>
  </si>
  <si>
    <t>1400/06/24</t>
  </si>
  <si>
    <t>1400/06/27</t>
  </si>
  <si>
    <t>1400/06/28</t>
  </si>
  <si>
    <t>1400/06/29</t>
  </si>
  <si>
    <t>1400/06/30</t>
  </si>
  <si>
    <t>1400/06/31</t>
  </si>
  <si>
    <t>1400/07/03</t>
  </si>
  <si>
    <t>1400/07/04</t>
  </si>
  <si>
    <t>1400/07/06</t>
  </si>
  <si>
    <t>1400/07/07</t>
  </si>
  <si>
    <t>1400/07/10</t>
  </si>
  <si>
    <t>1400/07/11</t>
  </si>
  <si>
    <t>1400/07/12</t>
  </si>
  <si>
    <t>1400/07/14</t>
  </si>
  <si>
    <t>1400/07/17</t>
  </si>
  <si>
    <t>1400/07/18</t>
  </si>
  <si>
    <t>1400/07/19</t>
  </si>
  <si>
    <t>1400/07/20</t>
  </si>
  <si>
    <t>1400/07/21</t>
  </si>
  <si>
    <t>1400/07/24</t>
  </si>
  <si>
    <t>1400/07/25</t>
  </si>
  <si>
    <t>1400/07/26</t>
  </si>
  <si>
    <t>1400/07/27</t>
  </si>
  <si>
    <t>1400/07/28</t>
  </si>
  <si>
    <t>1400/08/01</t>
  </si>
  <si>
    <t>1400/08/03</t>
  </si>
  <si>
    <t>1400/08/04</t>
  </si>
  <si>
    <t>1400/08/05</t>
  </si>
  <si>
    <t>1400/08/08</t>
  </si>
  <si>
    <t>1400/08/09</t>
  </si>
  <si>
    <t>1400/08/10</t>
  </si>
  <si>
    <t>1400/08/11</t>
  </si>
  <si>
    <t>1400/08/12</t>
  </si>
  <si>
    <t>1400/08/15</t>
  </si>
  <si>
    <t>1400/08/16</t>
  </si>
  <si>
    <t>1400/08/17</t>
  </si>
  <si>
    <t>1400/08/18</t>
  </si>
  <si>
    <t>1400/08/19</t>
  </si>
  <si>
    <t>1400/08/22</t>
  </si>
  <si>
    <t>1400/08/23</t>
  </si>
  <si>
    <t>1400/08/24</t>
  </si>
  <si>
    <t>1400/08/25</t>
  </si>
  <si>
    <t>1400/08/26</t>
  </si>
  <si>
    <t>1400/08/29</t>
  </si>
  <si>
    <t>1400/08/30</t>
  </si>
  <si>
    <t>1400/09/01</t>
  </si>
  <si>
    <t>1400/09/02</t>
  </si>
  <si>
    <t>1400/09/03</t>
  </si>
  <si>
    <t>1400/09/06</t>
  </si>
  <si>
    <t>1400/09/07</t>
  </si>
  <si>
    <t>1400/09/08</t>
  </si>
  <si>
    <t>1400/09/09</t>
  </si>
  <si>
    <t>1400/09/10</t>
  </si>
  <si>
    <t>1400/09/13</t>
  </si>
  <si>
    <t>1400/09/14</t>
  </si>
  <si>
    <t>1400/09/15</t>
  </si>
  <si>
    <t>1400/09/16</t>
  </si>
  <si>
    <t>1400/09/17</t>
  </si>
  <si>
    <t>1400/09/20</t>
  </si>
  <si>
    <t>1400/09/21</t>
  </si>
  <si>
    <t>1400/09/22</t>
  </si>
  <si>
    <t>1400/09/23</t>
  </si>
  <si>
    <t>1400/09/24</t>
  </si>
  <si>
    <t>1400/09/27</t>
  </si>
  <si>
    <t>1400/09/28</t>
  </si>
  <si>
    <t>1400/09/29</t>
  </si>
  <si>
    <t>1400/09/30</t>
  </si>
  <si>
    <t>1400/10/01</t>
  </si>
  <si>
    <t>1400/10/04</t>
  </si>
  <si>
    <t>1400/10/05</t>
  </si>
  <si>
    <t>1400/10/06</t>
  </si>
  <si>
    <t>1400/10/07</t>
  </si>
  <si>
    <t>1400/10/08</t>
  </si>
  <si>
    <t>1400/10/11</t>
  </si>
  <si>
    <t>1400/10/12</t>
  </si>
  <si>
    <t>1400/10/13</t>
  </si>
  <si>
    <t>1400/10/14</t>
  </si>
  <si>
    <t>1400/10/15</t>
  </si>
  <si>
    <t>1400/10/18</t>
  </si>
  <si>
    <t>1400/10/19</t>
  </si>
  <si>
    <t>1400/10/20</t>
  </si>
  <si>
    <t>1400/10/21</t>
  </si>
  <si>
    <t>1400/10/22</t>
  </si>
  <si>
    <t>1400/10/25</t>
  </si>
  <si>
    <t>1400/10/26</t>
  </si>
  <si>
    <t>1400/10/27</t>
  </si>
  <si>
    <t>1400/10/28</t>
  </si>
  <si>
    <t>1400/10/29</t>
  </si>
  <si>
    <t>1400/11/02</t>
  </si>
  <si>
    <t>1400/11/03</t>
  </si>
  <si>
    <t>1400/11/04</t>
  </si>
  <si>
    <t>1400/11/05</t>
  </si>
  <si>
    <t>1400/11/06</t>
  </si>
  <si>
    <t>1400/11/09</t>
  </si>
  <si>
    <t>1400/11/10</t>
  </si>
  <si>
    <t>1400/11/11</t>
  </si>
  <si>
    <t>1400/11/12</t>
  </si>
  <si>
    <t>1400/11/13</t>
  </si>
  <si>
    <t>1400/11/16</t>
  </si>
  <si>
    <t>1400/11/17</t>
  </si>
  <si>
    <t>1400/11/18</t>
  </si>
  <si>
    <t>1400/11/19</t>
  </si>
  <si>
    <t>1400/11/20</t>
  </si>
  <si>
    <t>1400/11/23</t>
  </si>
  <si>
    <t>1400/11/24</t>
  </si>
  <si>
    <t>1400/11/25</t>
  </si>
  <si>
    <t>1400/11/27</t>
  </si>
  <si>
    <t>1400/11/30</t>
  </si>
  <si>
    <t>1400/12/01</t>
  </si>
  <si>
    <t>1400/12/02</t>
  </si>
  <si>
    <t>1400/12/03</t>
  </si>
  <si>
    <t>1400/12/04</t>
  </si>
  <si>
    <t>1400/12/07</t>
  </si>
  <si>
    <t>1400/12/08</t>
  </si>
  <si>
    <t>1400/12/09</t>
  </si>
  <si>
    <t>1400/12/11</t>
  </si>
  <si>
    <t>1400/12/14</t>
  </si>
  <si>
    <t>1400/12/15</t>
  </si>
  <si>
    <t>1400/12/16</t>
  </si>
  <si>
    <t>1400/12/17</t>
  </si>
  <si>
    <t>1400/12/18</t>
  </si>
  <si>
    <t>1400/12/21</t>
  </si>
  <si>
    <t>1400/12/22</t>
  </si>
  <si>
    <t>1400/12/23</t>
  </si>
  <si>
    <t>1400/12/24</t>
  </si>
  <si>
    <t>1400/12/25</t>
  </si>
  <si>
    <t>1400/12/28</t>
  </si>
  <si>
    <t>+</t>
  </si>
  <si>
    <t>عرضه فزر</t>
  </si>
  <si>
    <t>1401/01/06</t>
  </si>
  <si>
    <t>1401/01/07</t>
  </si>
  <si>
    <t>1401/01/08</t>
  </si>
  <si>
    <t>1401/01/09</t>
  </si>
  <si>
    <t>1401/01/10</t>
  </si>
  <si>
    <t>1401/01/14</t>
  </si>
  <si>
    <t>1401/01/15</t>
  </si>
  <si>
    <t>1401/01/16</t>
  </si>
  <si>
    <t>1401/01/17</t>
  </si>
  <si>
    <t>1401/01/20</t>
  </si>
  <si>
    <t>1401/01/21</t>
  </si>
  <si>
    <t>1401/01/22</t>
  </si>
  <si>
    <t>1401/01/23</t>
  </si>
  <si>
    <t>1401/01/24</t>
  </si>
  <si>
    <t>1401/01/27</t>
  </si>
  <si>
    <t>1401/01/28</t>
  </si>
  <si>
    <t>1401/01/29</t>
  </si>
  <si>
    <t>1401/01/30</t>
  </si>
  <si>
    <t>1401/01/31</t>
  </si>
  <si>
    <t>-</t>
  </si>
  <si>
    <t>1401/02/04</t>
  </si>
  <si>
    <t>1401/02/05</t>
  </si>
  <si>
    <t>1401/02/06</t>
  </si>
  <si>
    <t>1401/02/07</t>
  </si>
  <si>
    <t>1401/02/10</t>
  </si>
  <si>
    <t>1401/02/11</t>
  </si>
  <si>
    <t>1401/02/17</t>
  </si>
  <si>
    <t>1401/02/18</t>
  </si>
  <si>
    <t>1401/02/19</t>
  </si>
  <si>
    <t>1401/02/20</t>
  </si>
  <si>
    <t>1401/02/21</t>
  </si>
  <si>
    <t>1401/02/24</t>
  </si>
  <si>
    <t>1401/02/25</t>
  </si>
  <si>
    <t>1401/02/26</t>
  </si>
  <si>
    <t>1401/02/27</t>
  </si>
  <si>
    <t>1401/02/28</t>
  </si>
  <si>
    <t>1401/02/31</t>
  </si>
  <si>
    <t>1401/03/01</t>
  </si>
  <si>
    <t>عرضه آسیاتک</t>
  </si>
  <si>
    <t>درصد از پرتفو</t>
  </si>
  <si>
    <t>1401/02/12</t>
  </si>
  <si>
    <t>حج بابا</t>
  </si>
  <si>
    <t>عرضه ددانا</t>
  </si>
  <si>
    <t>1401/03/02</t>
  </si>
  <si>
    <t>1401/03/03</t>
  </si>
  <si>
    <t>1401/03/04</t>
  </si>
  <si>
    <t>1401/03/07</t>
  </si>
  <si>
    <t>1401/03/08</t>
  </si>
  <si>
    <t>1401/03/09</t>
  </si>
  <si>
    <t>1401/03/10</t>
  </si>
  <si>
    <t>1401/03/11</t>
  </si>
  <si>
    <t>1401/03/16</t>
  </si>
  <si>
    <t>1401/03/17</t>
  </si>
  <si>
    <t>1401/03/18</t>
  </si>
  <si>
    <t>1401/03/21</t>
  </si>
  <si>
    <t>1401/03/22</t>
  </si>
  <si>
    <t>1401/03/23</t>
  </si>
  <si>
    <t>1401/03/24</t>
  </si>
  <si>
    <t>1401/03/25</t>
  </si>
  <si>
    <t>1401/03/28</t>
  </si>
  <si>
    <t>1401/03/29</t>
  </si>
  <si>
    <t>1401/03/30</t>
  </si>
  <si>
    <t>1401/03/31</t>
  </si>
  <si>
    <t>1401/04/01</t>
  </si>
  <si>
    <t>1401/04/04</t>
  </si>
  <si>
    <t>رضا , فاطی</t>
  </si>
  <si>
    <t>بابا , رضا , علی</t>
  </si>
  <si>
    <t>مامان , وحیده</t>
  </si>
  <si>
    <t>1401/04/06</t>
  </si>
  <si>
    <t>1401/04/15</t>
  </si>
  <si>
    <t>1401/04/05</t>
  </si>
  <si>
    <t>1401/04/07</t>
  </si>
  <si>
    <t>1401/04/08</t>
  </si>
  <si>
    <t>1401/04/11</t>
  </si>
  <si>
    <t>1401/04/12</t>
  </si>
  <si>
    <t>1401/04/13</t>
  </si>
  <si>
    <t>1401/04/14</t>
  </si>
  <si>
    <t>1401/04/18</t>
  </si>
  <si>
    <t>1401/04/20</t>
  </si>
  <si>
    <t>1401/04/21</t>
  </si>
  <si>
    <t>1401/04/22</t>
  </si>
  <si>
    <t>1401/04/25</t>
  </si>
  <si>
    <t>1401/04/26</t>
  </si>
  <si>
    <t>1401/05/01</t>
  </si>
  <si>
    <t xml:space="preserve"> بابا</t>
  </si>
  <si>
    <t xml:space="preserve"> بابا , رضا</t>
  </si>
  <si>
    <t>1401/06/08</t>
  </si>
  <si>
    <t>1401/05/26</t>
  </si>
  <si>
    <t>1401/06/01</t>
  </si>
  <si>
    <t>1401/06/20</t>
  </si>
  <si>
    <t>1401/05/02</t>
  </si>
  <si>
    <t>1401/05/03</t>
  </si>
  <si>
    <t>1401/05/04</t>
  </si>
  <si>
    <t>1401/05/10</t>
  </si>
  <si>
    <t>1401/05/05</t>
  </si>
  <si>
    <t>1401/05/08</t>
  </si>
  <si>
    <t>1401/05/09</t>
  </si>
  <si>
    <t>1401/05/11</t>
  </si>
  <si>
    <t>1401/05/12</t>
  </si>
  <si>
    <t>1401/05/15</t>
  </si>
  <si>
    <t>1401/05/18</t>
  </si>
  <si>
    <t>1401/05/19</t>
  </si>
  <si>
    <t>1401/05/22</t>
  </si>
  <si>
    <t>1401/05/23</t>
  </si>
  <si>
    <t>1401/05/24</t>
  </si>
  <si>
    <t>1401/05/25</t>
  </si>
  <si>
    <t>1401/05/29</t>
  </si>
  <si>
    <t>1401/05/30</t>
  </si>
  <si>
    <t>1401/05/31</t>
  </si>
  <si>
    <t>سود شپنا و نقد</t>
  </si>
  <si>
    <t>سود شاوان و نقد</t>
  </si>
  <si>
    <t>1401/06/02</t>
  </si>
  <si>
    <t>1401/06/05</t>
  </si>
  <si>
    <t>1401/06/06</t>
  </si>
  <si>
    <t>1401/06/07</t>
  </si>
  <si>
    <t>1401/06/09</t>
  </si>
  <si>
    <t>1401/06/12</t>
  </si>
  <si>
    <t>سود شبندر و نقد</t>
  </si>
  <si>
    <t>1401/06/13</t>
  </si>
  <si>
    <t>1401/06/14</t>
  </si>
  <si>
    <t>1401/06/15</t>
  </si>
  <si>
    <t>1401/06/16</t>
  </si>
  <si>
    <t>1401/06/19</t>
  </si>
  <si>
    <t>1401/06/21</t>
  </si>
  <si>
    <t>1401/06/22</t>
  </si>
  <si>
    <t>1401/06/23</t>
  </si>
  <si>
    <t>1401/06/27</t>
  </si>
  <si>
    <t>1401/06/28</t>
  </si>
  <si>
    <t>1401/06/29</t>
  </si>
  <si>
    <t>1401/06/30</t>
  </si>
  <si>
    <t>1401/07/02</t>
  </si>
  <si>
    <t>1401/07/04</t>
  </si>
  <si>
    <t>1401/07/06</t>
  </si>
  <si>
    <t>1401/07/09</t>
  </si>
  <si>
    <t>1401/07/10</t>
  </si>
  <si>
    <t>1401/07/11</t>
  </si>
  <si>
    <t>1401/07/12</t>
  </si>
  <si>
    <t>1401/07/16</t>
  </si>
  <si>
    <t>1401/07/17</t>
  </si>
  <si>
    <t>1401/07/18</t>
  </si>
  <si>
    <t>1401/07/19</t>
  </si>
  <si>
    <t>1401/07/20</t>
  </si>
  <si>
    <t>1401/07/23</t>
  </si>
  <si>
    <t>1401/07/24</t>
  </si>
  <si>
    <t>1401/07/25</t>
  </si>
  <si>
    <t>1401/07/26</t>
  </si>
  <si>
    <t>1401/07/27</t>
  </si>
  <si>
    <t>1401/07/30</t>
  </si>
  <si>
    <t>1401/08/01</t>
  </si>
  <si>
    <t>1401/08/02</t>
  </si>
  <si>
    <t>1401/08/03</t>
  </si>
  <si>
    <t>1401/08/04</t>
  </si>
  <si>
    <t>1401/08/07</t>
  </si>
  <si>
    <t>1401/08/08</t>
  </si>
  <si>
    <t>1401/08/09</t>
  </si>
  <si>
    <t>1401/08/10</t>
  </si>
  <si>
    <t>1401/08/11</t>
  </si>
  <si>
    <t>1401/08/14</t>
  </si>
  <si>
    <t>1401/08/15</t>
  </si>
  <si>
    <t>1401/08/16</t>
  </si>
  <si>
    <t>1401/08/17</t>
  </si>
  <si>
    <t>1401/08/18</t>
  </si>
  <si>
    <t>1401/08/21</t>
  </si>
  <si>
    <t>1401/08/22</t>
  </si>
  <si>
    <t>1401/08/23</t>
  </si>
  <si>
    <t>1401/08/24</t>
  </si>
  <si>
    <t>1401/08/25</t>
  </si>
  <si>
    <t>1401/08/28</t>
  </si>
  <si>
    <t>1401/08/29</t>
  </si>
  <si>
    <t>1401/08/30</t>
  </si>
  <si>
    <t>1401/09/01</t>
  </si>
  <si>
    <t>سود شبندر</t>
  </si>
  <si>
    <t>سود شبندر - شسپا</t>
  </si>
  <si>
    <t>سود فولاد</t>
  </si>
  <si>
    <t>سود فولاد , شبندر</t>
  </si>
  <si>
    <t>وحیده , بابا</t>
  </si>
  <si>
    <t>بابا , مامان</t>
  </si>
  <si>
    <t>بابا , وحیده , علی</t>
  </si>
  <si>
    <t>1401/09/02</t>
  </si>
  <si>
    <t>1401/09/05</t>
  </si>
  <si>
    <t>1401/09/06</t>
  </si>
  <si>
    <t>1401/09/07</t>
  </si>
  <si>
    <t>1401/09/08</t>
  </si>
  <si>
    <t>1401/09/09</t>
  </si>
  <si>
    <t>1401/09/12</t>
  </si>
  <si>
    <t>1401/09/13</t>
  </si>
  <si>
    <t>1401/09/14</t>
  </si>
  <si>
    <t>1401/09/15</t>
  </si>
  <si>
    <t>1401/09/16</t>
  </si>
  <si>
    <t>1401/09/19</t>
  </si>
  <si>
    <t>1401/09/20</t>
  </si>
  <si>
    <t>1401/09/21</t>
  </si>
  <si>
    <t>1401/09/22</t>
  </si>
  <si>
    <t>1401/09/23</t>
  </si>
  <si>
    <t>1401/09/26</t>
  </si>
  <si>
    <t>1401/09/27</t>
  </si>
  <si>
    <t>1401/09/28</t>
  </si>
  <si>
    <t>1401/09/29</t>
  </si>
  <si>
    <t>1401/09/30</t>
  </si>
  <si>
    <t>1401/10/03</t>
  </si>
  <si>
    <t>1401/10/04</t>
  </si>
  <si>
    <t>1401/10/05</t>
  </si>
  <si>
    <t>1401/10/07</t>
  </si>
  <si>
    <t>1401/10/10</t>
  </si>
  <si>
    <t>1401/10/11</t>
  </si>
  <si>
    <t>1401/10/12</t>
  </si>
  <si>
    <t>1401/10/13</t>
  </si>
  <si>
    <t>1401/10/14</t>
  </si>
  <si>
    <t>1401/10/17</t>
  </si>
  <si>
    <t>1401/10/18</t>
  </si>
  <si>
    <t>1401/10/19</t>
  </si>
  <si>
    <t>1401/10/20</t>
  </si>
  <si>
    <t>1401/10/21</t>
  </si>
  <si>
    <t>1401/10/24</t>
  </si>
  <si>
    <t>1401/10/26</t>
  </si>
  <si>
    <t>1401/10/27</t>
  </si>
  <si>
    <t>1401/10/28</t>
  </si>
  <si>
    <t>1401/11/01</t>
  </si>
  <si>
    <t>علی و رضا</t>
  </si>
  <si>
    <t>1401/11/02</t>
  </si>
  <si>
    <t>1401/11/03</t>
  </si>
  <si>
    <t>1401/11/04</t>
  </si>
  <si>
    <t>1401/11/05</t>
  </si>
  <si>
    <t>1401/11/08</t>
  </si>
  <si>
    <t>1401/11/09</t>
  </si>
  <si>
    <t>1401/11/10</t>
  </si>
  <si>
    <t>1401/11/11</t>
  </si>
  <si>
    <t>1401/11/12</t>
  </si>
  <si>
    <t>1401/11/16</t>
  </si>
  <si>
    <t>1401/11/17</t>
  </si>
  <si>
    <t>1401/11/18</t>
  </si>
  <si>
    <t>1401/11/19</t>
  </si>
  <si>
    <t>1401/11/23</t>
  </si>
  <si>
    <t>1401/11/24</t>
  </si>
  <si>
    <t>1401/11/25</t>
  </si>
  <si>
    <t>1401/11/26</t>
  </si>
  <si>
    <t>1401/11/30</t>
  </si>
  <si>
    <t>1401/12/01</t>
  </si>
  <si>
    <t>1401/12/02</t>
  </si>
  <si>
    <t>1401/12/03</t>
  </si>
  <si>
    <t>1401/12/06</t>
  </si>
  <si>
    <t>1401/12/07</t>
  </si>
  <si>
    <t>1401/12/08</t>
  </si>
  <si>
    <t>1401/12/09</t>
  </si>
  <si>
    <t>1401/12/10</t>
  </si>
  <si>
    <t>1401/12/13</t>
  </si>
  <si>
    <t>1401/12/14</t>
  </si>
  <si>
    <t>1401/12/15</t>
  </si>
  <si>
    <t>1401/12/16</t>
  </si>
  <si>
    <t>1401/12/20</t>
  </si>
  <si>
    <t>1401/12/21</t>
  </si>
  <si>
    <t>1401/12/22</t>
  </si>
  <si>
    <t>1401/12/23</t>
  </si>
  <si>
    <t>1401/12/24</t>
  </si>
  <si>
    <t>1401/12/27</t>
  </si>
  <si>
    <t>1401/12/28</t>
  </si>
  <si>
    <t>1402/01/05</t>
  </si>
  <si>
    <t xml:space="preserve">بابا , مامان , وحیده </t>
  </si>
  <si>
    <t>بابا , فاطمه</t>
  </si>
  <si>
    <t>عرضه اولیه - همه</t>
  </si>
  <si>
    <t xml:space="preserve"> برداشت سود شپدیس</t>
  </si>
  <si>
    <t xml:space="preserve"> </t>
  </si>
  <si>
    <t>تصویه وام 30 , واریز 5</t>
  </si>
  <si>
    <t>وام آگاه(فاطمه و بابا)</t>
  </si>
  <si>
    <t>1402/01/06</t>
  </si>
  <si>
    <t>1402/01/07</t>
  </si>
  <si>
    <t>1402/01/08</t>
  </si>
  <si>
    <t>1402/01/09</t>
  </si>
  <si>
    <t>1402/01/14</t>
  </si>
  <si>
    <t>1402/01/15</t>
  </si>
  <si>
    <t>1402/01/16</t>
  </si>
  <si>
    <t>1402/01/19</t>
  </si>
  <si>
    <t>1402/01/20</t>
  </si>
  <si>
    <t>1402/01/21</t>
  </si>
  <si>
    <t>1402/01/22</t>
  </si>
  <si>
    <t>1402/01/26</t>
  </si>
  <si>
    <t>1402/01/27</t>
  </si>
  <si>
    <t>1402/01/28</t>
  </si>
  <si>
    <t>1402/01/29</t>
  </si>
  <si>
    <t>1402/01/30</t>
  </si>
  <si>
    <t>1402/02/04</t>
  </si>
  <si>
    <t>1402/02/05</t>
  </si>
  <si>
    <t>1402/02/06</t>
  </si>
  <si>
    <t>1402/02/09</t>
  </si>
  <si>
    <t>1402/02/10</t>
  </si>
  <si>
    <t>1402/02/11</t>
  </si>
  <si>
    <t>1402/02/12</t>
  </si>
  <si>
    <t>1402/02/13</t>
  </si>
  <si>
    <t>1402/02/16</t>
  </si>
  <si>
    <t>1402/02/17</t>
  </si>
  <si>
    <t>1402/02/18</t>
  </si>
  <si>
    <t>1402/02/19</t>
  </si>
  <si>
    <t>1402/02/20</t>
  </si>
  <si>
    <t>1402/02/23</t>
  </si>
  <si>
    <t>1402/02/24</t>
  </si>
  <si>
    <t>1402/02/25</t>
  </si>
  <si>
    <t>1402/02/27</t>
  </si>
  <si>
    <t>1402/02/30</t>
  </si>
  <si>
    <t>1402/02/31</t>
  </si>
  <si>
    <t>1402/03/01</t>
  </si>
  <si>
    <t>1402/03/02</t>
  </si>
  <si>
    <t>1402/03/03</t>
  </si>
  <si>
    <t>1402/03/06</t>
  </si>
  <si>
    <t>1402/03/07</t>
  </si>
  <si>
    <t>1402/03/08</t>
  </si>
  <si>
    <t>1402/03/09</t>
  </si>
  <si>
    <t>1402/03/10</t>
  </si>
  <si>
    <t>1402/03/13</t>
  </si>
  <si>
    <t>1402/03/16</t>
  </si>
  <si>
    <t>1402/03/17</t>
  </si>
  <si>
    <t>1402/03/20</t>
  </si>
  <si>
    <t>1402/03/21</t>
  </si>
  <si>
    <t>1402/03/22</t>
  </si>
  <si>
    <t>1402/03/23</t>
  </si>
  <si>
    <t>1402/03/24</t>
  </si>
  <si>
    <t>1402/03/27</t>
  </si>
  <si>
    <t>1402/03/28</t>
  </si>
  <si>
    <t>1402/03/29</t>
  </si>
  <si>
    <t>1402/03/30</t>
  </si>
  <si>
    <t>1402/03/31</t>
  </si>
  <si>
    <t>وام آگاه(فاطمه و بابا و رضا)</t>
  </si>
  <si>
    <t>1402/04/03</t>
  </si>
  <si>
    <t>1402/04/04</t>
  </si>
  <si>
    <t>1402/04/05</t>
  </si>
  <si>
    <t>1402/04/06</t>
  </si>
  <si>
    <t>1402/04/07</t>
  </si>
  <si>
    <t>1402/04/10</t>
  </si>
  <si>
    <t>1402/04/11</t>
  </si>
  <si>
    <t>1402/04/12</t>
  </si>
  <si>
    <t>1402/04/13</t>
  </si>
  <si>
    <t>1402/04/14</t>
  </si>
  <si>
    <t>1402/04/17</t>
  </si>
  <si>
    <t>1402/04/18</t>
  </si>
  <si>
    <t>1402/04/19</t>
  </si>
  <si>
    <t>1402/04/20</t>
  </si>
  <si>
    <t>1402/04/21</t>
  </si>
  <si>
    <t>1402/04/24</t>
  </si>
  <si>
    <t>1402/04/25</t>
  </si>
  <si>
    <t>1402/04/26</t>
  </si>
  <si>
    <t>1402/04/27</t>
  </si>
  <si>
    <t>1402/04/28</t>
  </si>
  <si>
    <t>1402/04/31</t>
  </si>
  <si>
    <t>1402/05/01</t>
  </si>
  <si>
    <t>فاطمه و علی</t>
  </si>
  <si>
    <t>وام آگاه(مامان و علی)</t>
  </si>
  <si>
    <t>تصویه وام 15</t>
  </si>
  <si>
    <t>وام آگاه(رضا و بابا)</t>
  </si>
  <si>
    <t>عرضه زفجر (مامان وحیده فاطمه علی)</t>
  </si>
  <si>
    <t>علی , فاطمه</t>
  </si>
  <si>
    <t>بابا , علی , وحیده , عرضه عالیس</t>
  </si>
  <si>
    <t>1402/05/02</t>
  </si>
  <si>
    <t>1402/05/03</t>
  </si>
  <si>
    <t>1402/05/04</t>
  </si>
  <si>
    <t>1402/05/07</t>
  </si>
  <si>
    <t>1402/05/08</t>
  </si>
  <si>
    <t>1402/05/09</t>
  </si>
  <si>
    <t>1402/05/10</t>
  </si>
  <si>
    <t>1402/05/14</t>
  </si>
  <si>
    <t>1402/05/15</t>
  </si>
  <si>
    <t>1402/05/16</t>
  </si>
  <si>
    <t>1402/05/17</t>
  </si>
  <si>
    <t>1402/05/18</t>
  </si>
  <si>
    <t>1402/05/21</t>
  </si>
  <si>
    <t>1402/05/22</t>
  </si>
  <si>
    <t>1402/05/23</t>
  </si>
  <si>
    <t>1402/05/24</t>
  </si>
  <si>
    <t>1402/05/25</t>
  </si>
  <si>
    <t>1402/05/28</t>
  </si>
  <si>
    <t>1402/05/29</t>
  </si>
  <si>
    <t>1402/05/30</t>
  </si>
  <si>
    <t>1402/05/31</t>
  </si>
  <si>
    <t>1402/06/01</t>
  </si>
  <si>
    <t>1402/06/04</t>
  </si>
  <si>
    <t>1402/06/05</t>
  </si>
  <si>
    <t>1402/06/06</t>
  </si>
  <si>
    <t>1402/06/07</t>
  </si>
  <si>
    <t>1402/06/08</t>
  </si>
  <si>
    <t>1402/06/11</t>
  </si>
  <si>
    <t>1402/06/12</t>
  </si>
  <si>
    <t>1402/06/13</t>
  </si>
  <si>
    <t>1402/06/14</t>
  </si>
  <si>
    <t>1402/06/18</t>
  </si>
  <si>
    <t>1402/06/19</t>
  </si>
  <si>
    <t>1402/06/20</t>
  </si>
  <si>
    <t>1402/06/21</t>
  </si>
  <si>
    <t>1402/06/22</t>
  </si>
  <si>
    <t>1402/06/26</t>
  </si>
  <si>
    <t>1402/06/27</t>
  </si>
  <si>
    <t>1402/06/28</t>
  </si>
  <si>
    <t>1402/06/29</t>
  </si>
  <si>
    <t>1402/07/01</t>
  </si>
  <si>
    <t xml:space="preserve">تصویه وام 5 </t>
  </si>
  <si>
    <t>عرضه اولیه شهر هر کد 750</t>
  </si>
  <si>
    <t>هر کد 100</t>
  </si>
  <si>
    <t xml:space="preserve"> مجمع</t>
  </si>
  <si>
    <t>تاریخ واریز سود</t>
  </si>
  <si>
    <t>1402/08/13</t>
  </si>
  <si>
    <t xml:space="preserve">تصویه وام 65 بابا رضا فاطمه </t>
  </si>
  <si>
    <t>تصویه وام 20 مامان علی</t>
  </si>
  <si>
    <t>1402/07/15</t>
  </si>
  <si>
    <t>بابا مامان وحیده فاطمه علی</t>
  </si>
  <si>
    <t>عرضه اولیه شهر هر کد 200</t>
  </si>
  <si>
    <t>بابا , علی</t>
  </si>
  <si>
    <t>1402/09/15</t>
  </si>
  <si>
    <t>بابا , علی , فاطمه</t>
  </si>
  <si>
    <t>1402/07/09</t>
  </si>
  <si>
    <t>تصویه وام 5 رضا</t>
  </si>
  <si>
    <t>تصویه وام 5 فاطمه</t>
  </si>
  <si>
    <t>1402/07/03</t>
  </si>
  <si>
    <t>1402/07/04</t>
  </si>
  <si>
    <t>1402/07/05</t>
  </si>
  <si>
    <t>1402/07/08</t>
  </si>
  <si>
    <t>1402/07/10</t>
  </si>
  <si>
    <t>1402/07/12</t>
  </si>
  <si>
    <t>1402/07/16</t>
  </si>
  <si>
    <t>1402/07/17</t>
  </si>
  <si>
    <t>1402/07/18</t>
  </si>
  <si>
    <t>1402/07/19</t>
  </si>
  <si>
    <t>1402/07/22</t>
  </si>
  <si>
    <t>1402/07/23</t>
  </si>
  <si>
    <t>1402/07/24</t>
  </si>
  <si>
    <t>1402/07/25</t>
  </si>
  <si>
    <t>1402/07/26</t>
  </si>
  <si>
    <t>1402/07/29</t>
  </si>
  <si>
    <t>1402/07/30</t>
  </si>
  <si>
    <t>1402/08/01</t>
  </si>
  <si>
    <t>1402/08/02</t>
  </si>
  <si>
    <t>1402/08/03</t>
  </si>
  <si>
    <t>1402/08/06</t>
  </si>
  <si>
    <t>1402/08/07</t>
  </si>
  <si>
    <t>1402/08/08</t>
  </si>
  <si>
    <t>1402/08/09</t>
  </si>
  <si>
    <t>1402/08/10</t>
  </si>
  <si>
    <t>1402/08/14</t>
  </si>
  <si>
    <t>1402/08/15</t>
  </si>
  <si>
    <t>1402/08/16</t>
  </si>
  <si>
    <t>1402/08/17</t>
  </si>
  <si>
    <t>1402/08/20</t>
  </si>
  <si>
    <t>1402/08/21</t>
  </si>
  <si>
    <t>1402/08/22</t>
  </si>
  <si>
    <t>1402/08/23</t>
  </si>
  <si>
    <t>1402/08/24</t>
  </si>
  <si>
    <t>1402/08/27</t>
  </si>
  <si>
    <t>1402/08/28</t>
  </si>
  <si>
    <t>1402/08/29</t>
  </si>
  <si>
    <t>1402/08/30</t>
  </si>
  <si>
    <t>1402/09/01</t>
  </si>
  <si>
    <t>1402/09/04</t>
  </si>
  <si>
    <t>1402/09/05</t>
  </si>
  <si>
    <t>1402/09/06</t>
  </si>
  <si>
    <t>1402/09/07</t>
  </si>
  <si>
    <t>1402/09/08</t>
  </si>
  <si>
    <t>1402/09/11</t>
  </si>
  <si>
    <t>1402/09/12</t>
  </si>
  <si>
    <t>1402/09/13</t>
  </si>
  <si>
    <t>1402/09/14</t>
  </si>
  <si>
    <t>1402/09/18</t>
  </si>
  <si>
    <t>1402/09/19</t>
  </si>
  <si>
    <t>1402/09/20</t>
  </si>
  <si>
    <t>1402/09/21</t>
  </si>
  <si>
    <t>1402/09/22</t>
  </si>
  <si>
    <t>1402/09/25</t>
  </si>
  <si>
    <t>1402/09/27</t>
  </si>
  <si>
    <t>1402/09/28</t>
  </si>
  <si>
    <t>1402/09/29</t>
  </si>
  <si>
    <t>1402/10/02</t>
  </si>
  <si>
    <t>1402/10/03</t>
  </si>
  <si>
    <t>1402/10/04</t>
  </si>
  <si>
    <t>1402/10/05</t>
  </si>
  <si>
    <t>1402/10/06</t>
  </si>
  <si>
    <t>1402/10/09</t>
  </si>
  <si>
    <t>1402/10/10</t>
  </si>
  <si>
    <t>1402/10/11</t>
  </si>
  <si>
    <t>1402/10/12</t>
  </si>
  <si>
    <t>1402/10/13</t>
  </si>
  <si>
    <t>1402/10/16</t>
  </si>
  <si>
    <t>1402/10/17</t>
  </si>
  <si>
    <t>1402/10/18</t>
  </si>
  <si>
    <t>1402/10/19</t>
  </si>
  <si>
    <t>1402/10/20</t>
  </si>
  <si>
    <t>1402/10/23</t>
  </si>
  <si>
    <t>1402/10/24</t>
  </si>
  <si>
    <t>1402/10/25</t>
  </si>
  <si>
    <t>1402/10/26</t>
  </si>
  <si>
    <t>1402/10/27</t>
  </si>
  <si>
    <t>1402/10/30</t>
  </si>
  <si>
    <t>1402/11/01</t>
  </si>
  <si>
    <t>1402/11/02</t>
  </si>
  <si>
    <t>1402/11/03</t>
  </si>
  <si>
    <t>1402/11/04</t>
  </si>
  <si>
    <t>1402/11/07</t>
  </si>
  <si>
    <t>1402/11/08</t>
  </si>
  <si>
    <t>1402/11/09</t>
  </si>
  <si>
    <t>1402/11/10</t>
  </si>
  <si>
    <t>1402/11/11</t>
  </si>
  <si>
    <t>1402/11/14</t>
  </si>
  <si>
    <t>1402/11/15</t>
  </si>
  <si>
    <t>1402/11/16</t>
  </si>
  <si>
    <t>1402/11/17</t>
  </si>
  <si>
    <t>1402/11/18</t>
  </si>
  <si>
    <t>1402/11/21</t>
  </si>
  <si>
    <t>1402/11/23</t>
  </si>
  <si>
    <t>1402/11/24</t>
  </si>
  <si>
    <t>1402/11/25</t>
  </si>
  <si>
    <t>1402/11/28</t>
  </si>
  <si>
    <t>1402/11/29</t>
  </si>
  <si>
    <t>1402/11/30</t>
  </si>
  <si>
    <t>1402/12/01</t>
  </si>
  <si>
    <t>1402/12/02</t>
  </si>
  <si>
    <t>1402/12/05</t>
  </si>
  <si>
    <t>1402/12/07</t>
  </si>
  <si>
    <t>1402/12/08</t>
  </si>
  <si>
    <t>1402/12/09</t>
  </si>
  <si>
    <t>1402/12/12</t>
  </si>
  <si>
    <t>1402/12/13</t>
  </si>
  <si>
    <t>1402/12/14</t>
  </si>
  <si>
    <t>1402/12/15</t>
  </si>
  <si>
    <t>1402/12/16</t>
  </si>
  <si>
    <t>1402/12/19</t>
  </si>
  <si>
    <t>1402/12/20</t>
  </si>
  <si>
    <t>1402/12/21</t>
  </si>
  <si>
    <t>1402/12/22</t>
  </si>
  <si>
    <t>1402/12/23</t>
  </si>
  <si>
    <t>1402/12/26</t>
  </si>
  <si>
    <t>1402/12/27</t>
  </si>
  <si>
    <t>1402/12/28</t>
  </si>
  <si>
    <t>1403/01/05</t>
  </si>
  <si>
    <t>بابا , وحیده</t>
  </si>
  <si>
    <t>علی , وحیده</t>
  </si>
  <si>
    <t>بابا , همه</t>
  </si>
  <si>
    <t>علی , وحیده , فاطمه</t>
  </si>
  <si>
    <t>مثقال</t>
  </si>
  <si>
    <t>بابا وحیده فاطمه علی</t>
  </si>
  <si>
    <t>یاقوت</t>
  </si>
  <si>
    <t>عرضه اولیه بیوتیک</t>
  </si>
  <si>
    <t>علی و فاطمه</t>
  </si>
  <si>
    <t>1403/01/06</t>
  </si>
  <si>
    <t>1403/01/07</t>
  </si>
  <si>
    <t>1403/01/08</t>
  </si>
  <si>
    <t>1403/01/11</t>
  </si>
  <si>
    <t>1403/01/14</t>
  </si>
  <si>
    <t>1403/01/15</t>
  </si>
  <si>
    <t>1403/01/18</t>
  </si>
  <si>
    <t>1403/01/19</t>
  </si>
  <si>
    <t>1403/01/20</t>
  </si>
  <si>
    <t>1403/01/21</t>
  </si>
  <si>
    <t>1403/01/25</t>
  </si>
  <si>
    <t>1403/01/26</t>
  </si>
  <si>
    <t>1403/01/27</t>
  </si>
  <si>
    <t>1403/01/28</t>
  </si>
  <si>
    <t>1403/01/29</t>
  </si>
  <si>
    <t>1403/02/01</t>
  </si>
  <si>
    <t>1403/02/02</t>
  </si>
  <si>
    <t>1403/02/03</t>
  </si>
  <si>
    <t>1403/02/04</t>
  </si>
  <si>
    <t>1403/02/05</t>
  </si>
  <si>
    <t>1403/02/08</t>
  </si>
  <si>
    <t>1403/02/09</t>
  </si>
  <si>
    <t>1403/02/10</t>
  </si>
  <si>
    <t>1403/02/11</t>
  </si>
  <si>
    <t>1403/02/12</t>
  </si>
  <si>
    <t>1403/02/16</t>
  </si>
  <si>
    <t>1403/02/17</t>
  </si>
  <si>
    <t>1403/02/18</t>
  </si>
  <si>
    <t>1403/02/19</t>
  </si>
  <si>
    <t>1403/02/22</t>
  </si>
  <si>
    <t>1403/02/23</t>
  </si>
  <si>
    <t>1403/02/24</t>
  </si>
  <si>
    <t>1403/02/25</t>
  </si>
  <si>
    <t>1403/02/26</t>
  </si>
  <si>
    <t>1403/02/29</t>
  </si>
  <si>
    <t>1403/02/30</t>
  </si>
  <si>
    <t>1403/03/01</t>
  </si>
  <si>
    <t>1403/03/05</t>
  </si>
  <si>
    <t>1403/03/06</t>
  </si>
  <si>
    <t>1403/03/07</t>
  </si>
  <si>
    <t>1403/03/08</t>
  </si>
  <si>
    <t>1403/03/09</t>
  </si>
  <si>
    <t>1403/03/12</t>
  </si>
  <si>
    <t>1403/03/13</t>
  </si>
  <si>
    <t>1403/03/16</t>
  </si>
  <si>
    <t>1403/03/19</t>
  </si>
  <si>
    <t>1403/03/20</t>
  </si>
  <si>
    <t>1403/03/21</t>
  </si>
  <si>
    <t>1403/03/22</t>
  </si>
  <si>
    <t>1403/03/23</t>
  </si>
  <si>
    <t>1403/03/26</t>
  </si>
  <si>
    <t>1403/03/27</t>
  </si>
  <si>
    <t>1403/03/29</t>
  </si>
  <si>
    <t>1403/03/30</t>
  </si>
  <si>
    <t>1403/04/02</t>
  </si>
  <si>
    <t xml:space="preserve"> بابا , رضا - رهن تهران</t>
  </si>
  <si>
    <t>رضا - رهن تهران</t>
  </si>
  <si>
    <t>1403/04/03</t>
  </si>
  <si>
    <t>1403/04/04</t>
  </si>
  <si>
    <t>1403/04/06</t>
  </si>
  <si>
    <t>1403/04/09</t>
  </si>
  <si>
    <t>1403/04/10</t>
  </si>
  <si>
    <t>1403/04/11</t>
  </si>
  <si>
    <t>1403/04/12</t>
  </si>
  <si>
    <t>1403/04/13</t>
  </si>
  <si>
    <t>1403/04/16</t>
  </si>
  <si>
    <t>1403/04/17</t>
  </si>
  <si>
    <t>1403/04/18</t>
  </si>
  <si>
    <t>1403/04/19</t>
  </si>
  <si>
    <t>1403/04/20</t>
  </si>
  <si>
    <t>1403/04/23</t>
  </si>
  <si>
    <t>1403/04/24</t>
  </si>
  <si>
    <t>1403/04/27</t>
  </si>
  <si>
    <t>1403/04/30</t>
  </si>
  <si>
    <t>1403/04/31</t>
  </si>
  <si>
    <t>1403/05/01</t>
  </si>
  <si>
    <t>1403/07/10</t>
  </si>
  <si>
    <t>1403/08/26</t>
  </si>
  <si>
    <t>وحیده , علی</t>
  </si>
  <si>
    <t>1403/07/08</t>
  </si>
  <si>
    <t>1403/07/09</t>
  </si>
  <si>
    <t>1403/07/11</t>
  </si>
  <si>
    <t>1403/07/14</t>
  </si>
  <si>
    <t>1403/07/15</t>
  </si>
  <si>
    <t>1403/07/16</t>
  </si>
  <si>
    <t>1403/07/17</t>
  </si>
  <si>
    <t>1403/07/18</t>
  </si>
  <si>
    <t>1403/07/21</t>
  </si>
  <si>
    <t>1403/07/22</t>
  </si>
  <si>
    <t>1403/07/23</t>
  </si>
  <si>
    <t>1403/07/24</t>
  </si>
  <si>
    <t>1403/07/25</t>
  </si>
  <si>
    <t>1403/08/14</t>
  </si>
  <si>
    <t>1403/08/15</t>
  </si>
  <si>
    <t>1403/08/23</t>
  </si>
  <si>
    <t>1403/08/27</t>
  </si>
  <si>
    <t>1403/08/28</t>
  </si>
  <si>
    <t>1403/09/03</t>
  </si>
  <si>
    <t>1403/09/07</t>
  </si>
  <si>
    <t>1403/09/10</t>
  </si>
  <si>
    <t>1403/09/11</t>
  </si>
  <si>
    <t>1403/09/12</t>
  </si>
  <si>
    <t>1403/09/13</t>
  </si>
  <si>
    <t>1403/09/14</t>
  </si>
  <si>
    <t>1403/09/19</t>
  </si>
  <si>
    <t>1403/09/20</t>
  </si>
  <si>
    <t>1403/09/21</t>
  </si>
  <si>
    <t>1403/09/24</t>
  </si>
  <si>
    <t>1403/09/25</t>
  </si>
  <si>
    <t>1403/09/26</t>
  </si>
  <si>
    <t>1403/09/27</t>
  </si>
  <si>
    <t>1403/09/28</t>
  </si>
  <si>
    <t>1403/10/01</t>
  </si>
  <si>
    <t>1403/10/02</t>
  </si>
  <si>
    <t>1403/10/03</t>
  </si>
  <si>
    <t>1403/10/04</t>
  </si>
  <si>
    <t>1403/10/05</t>
  </si>
  <si>
    <t>1403/10/08</t>
  </si>
  <si>
    <t>1403/10/11</t>
  </si>
  <si>
    <t>1403/10/12</t>
  </si>
  <si>
    <t>1403/10/15</t>
  </si>
  <si>
    <t>1403/10/16</t>
  </si>
  <si>
    <t>1403/10/17</t>
  </si>
  <si>
    <t>1403/10/18</t>
  </si>
  <si>
    <t>1403/10/19</t>
  </si>
  <si>
    <t>1403/10/22</t>
  </si>
  <si>
    <t>1403/12/01</t>
  </si>
  <si>
    <t>1403/12/28</t>
  </si>
  <si>
    <t>تسویه 12/13</t>
  </si>
  <si>
    <t>تسویه وام</t>
  </si>
  <si>
    <t>20وام (بابا -رضا- وحیده- علی), 6 فاطی</t>
  </si>
  <si>
    <t>عرضه اولیه , بابا</t>
  </si>
  <si>
    <t>عرضه اولیه</t>
  </si>
  <si>
    <t>فاطمه , علی</t>
  </si>
  <si>
    <t>تسویه وام ها و واریزی فاطمه , علی</t>
  </si>
  <si>
    <t>سصوفی</t>
  </si>
  <si>
    <t>حامیا</t>
  </si>
  <si>
    <t>1404/05/02</t>
  </si>
  <si>
    <t>کالا</t>
  </si>
  <si>
    <t>واریز مامان , رضا , فاطمه , علی</t>
  </si>
  <si>
    <t>1404/05/20</t>
  </si>
  <si>
    <t>1404/05/30</t>
  </si>
  <si>
    <t>کاسپین</t>
  </si>
  <si>
    <t>1404/06/27</t>
  </si>
  <si>
    <t>واریز رضا , فاطمه , علی</t>
  </si>
  <si>
    <t>1404/07/04</t>
  </si>
  <si>
    <t>1404/07/05</t>
  </si>
  <si>
    <t>1404/07/09</t>
  </si>
  <si>
    <t>1404/07/14</t>
  </si>
  <si>
    <t>1404/07/15</t>
  </si>
  <si>
    <t>1404/07/16</t>
  </si>
  <si>
    <t>1404/07/20</t>
  </si>
  <si>
    <t>1404/07/23</t>
  </si>
  <si>
    <t>1404/07/26</t>
  </si>
  <si>
    <t>1404/07/28</t>
  </si>
  <si>
    <t>1404/07/29</t>
  </si>
  <si>
    <t>1404/07/30</t>
  </si>
  <si>
    <t>1404/08/05</t>
  </si>
  <si>
    <t>رضا ,فاطمه</t>
  </si>
  <si>
    <t>1404/08/07</t>
  </si>
  <si>
    <t>1404/08/11</t>
  </si>
  <si>
    <t>1404/08/12</t>
  </si>
  <si>
    <t>1404/08/14</t>
  </si>
  <si>
    <t>1404/08/18</t>
  </si>
  <si>
    <t>1404/08/20</t>
  </si>
  <si>
    <t>1404/08/25</t>
  </si>
  <si>
    <t>1404/08/26</t>
  </si>
  <si>
    <t>1404/08/28</t>
  </si>
  <si>
    <t>1404/09/01</t>
  </si>
  <si>
    <t>1404/09/02</t>
  </si>
  <si>
    <t>1397/01/01</t>
  </si>
  <si>
    <t>1398/01/01</t>
  </si>
  <si>
    <t>1399/01/01</t>
  </si>
  <si>
    <t>1399/05/06</t>
  </si>
  <si>
    <t>1400/01/01</t>
  </si>
  <si>
    <t>1397/06/01</t>
  </si>
  <si>
    <t>1397/02/01</t>
  </si>
  <si>
    <t>1397/03/01</t>
  </si>
  <si>
    <t>1397/04/01</t>
  </si>
  <si>
    <t>1397/05/01</t>
  </si>
  <si>
    <t>1397/07/01</t>
  </si>
  <si>
    <t>1397/08/01</t>
  </si>
  <si>
    <t>1397/09/01</t>
  </si>
  <si>
    <t>1397/10/01</t>
  </si>
  <si>
    <t>1397/11/01</t>
  </si>
  <si>
    <t>1397/12/01</t>
  </si>
  <si>
    <t>1398/02/01</t>
  </si>
  <si>
    <t>1398/03/01</t>
  </si>
  <si>
    <t>1398/04/01</t>
  </si>
  <si>
    <t>1398/05/01</t>
  </si>
  <si>
    <t>1398/06/01</t>
  </si>
  <si>
    <t>1398/07/01</t>
  </si>
  <si>
    <t>1398/08/01</t>
  </si>
  <si>
    <t>1398/09/01</t>
  </si>
  <si>
    <t>1398/10/01</t>
  </si>
  <si>
    <t>1398/11/01</t>
  </si>
  <si>
    <t>1398/12/01</t>
  </si>
  <si>
    <t>1399/02/01</t>
  </si>
  <si>
    <t>1399/03/01</t>
  </si>
  <si>
    <t>1399/04/01</t>
  </si>
  <si>
    <t>1399/05/01</t>
  </si>
  <si>
    <t>1399/06/01</t>
  </si>
  <si>
    <t>1399/07/01</t>
  </si>
  <si>
    <t>1399/08/01</t>
  </si>
  <si>
    <t>1399/09/01</t>
  </si>
  <si>
    <t>1399/10/01</t>
  </si>
  <si>
    <t>1399/11/01</t>
  </si>
  <si>
    <t>1399/12/01</t>
  </si>
  <si>
    <t>1400/02/01</t>
  </si>
  <si>
    <t>1400/03/01</t>
  </si>
  <si>
    <t>1400/04/01</t>
  </si>
  <si>
    <t>1399/01/08</t>
  </si>
  <si>
    <t>1399/01/15</t>
  </si>
  <si>
    <t>1399/01/22</t>
  </si>
  <si>
    <t>1399/01/29</t>
  </si>
  <si>
    <t>1399/02/08</t>
  </si>
  <si>
    <t>1399/02/15</t>
  </si>
  <si>
    <t>1399/02/22</t>
  </si>
  <si>
    <t>1399/02/29</t>
  </si>
  <si>
    <t>1399/03/08</t>
  </si>
  <si>
    <t>1399/03/15</t>
  </si>
  <si>
    <t>1399/03/22</t>
  </si>
  <si>
    <t>1399/03/29</t>
  </si>
  <si>
    <t>1399/04/08</t>
  </si>
  <si>
    <t>1399/04/15</t>
  </si>
  <si>
    <t>1399/04/22</t>
  </si>
  <si>
    <t>1399/04/29</t>
  </si>
  <si>
    <t>1399/05/13</t>
  </si>
  <si>
    <t>1399/05/20</t>
  </si>
  <si>
    <t>1399/05/27</t>
  </si>
  <si>
    <t>1399/06/08</t>
  </si>
  <si>
    <t>1399/06/15</t>
  </si>
  <si>
    <t>1399/06/22</t>
  </si>
  <si>
    <t>1399/06/29</t>
  </si>
  <si>
    <t>1399/07/08</t>
  </si>
  <si>
    <t>1399/07/15</t>
  </si>
  <si>
    <t>1399/07/22</t>
  </si>
  <si>
    <t>1399/07/29</t>
  </si>
  <si>
    <t>1399/08/08</t>
  </si>
  <si>
    <t>1399/08/15</t>
  </si>
  <si>
    <t>1399/08/22</t>
  </si>
  <si>
    <t>1399/08/29</t>
  </si>
  <si>
    <t>1399/09/08</t>
  </si>
  <si>
    <t>1399/09/15</t>
  </si>
  <si>
    <t>1399/09/22</t>
  </si>
  <si>
    <t>1399/09/29</t>
  </si>
  <si>
    <t>1399/10/08</t>
  </si>
  <si>
    <t>1399/10/15</t>
  </si>
  <si>
    <t>1399/10/22</t>
  </si>
  <si>
    <t>1399/10/29</t>
  </si>
  <si>
    <t>1399/11/08</t>
  </si>
  <si>
    <t>1399/11/15</t>
  </si>
  <si>
    <t>1399/11/22</t>
  </si>
  <si>
    <t>1399/11/29</t>
  </si>
  <si>
    <t>1399/12/08</t>
  </si>
  <si>
    <t>1399/12/15</t>
  </si>
  <si>
    <t>1399/12/22</t>
  </si>
  <si>
    <t>1399/12/29</t>
  </si>
  <si>
    <t>1400/01/08</t>
  </si>
  <si>
    <t>1400/01/15</t>
  </si>
  <si>
    <t>1400/01/22</t>
  </si>
  <si>
    <t>1400/01/29</t>
  </si>
  <si>
    <t>1400/02/08</t>
  </si>
  <si>
    <t>1400/02/15</t>
  </si>
  <si>
    <t>1400/02/22</t>
  </si>
  <si>
    <t>1400/02/29</t>
  </si>
  <si>
    <t>1400/03/08</t>
  </si>
  <si>
    <t>1400/03/15</t>
  </si>
  <si>
    <t>1400/03/22</t>
  </si>
  <si>
    <t>1400/03/29</t>
  </si>
  <si>
    <t>1397/01/08</t>
  </si>
  <si>
    <t>1397/01/15</t>
  </si>
  <si>
    <t>1397/01/22</t>
  </si>
  <si>
    <t>1397/01/29</t>
  </si>
  <si>
    <t>1397/02/08</t>
  </si>
  <si>
    <t>1397/02/15</t>
  </si>
  <si>
    <t>1397/02/22</t>
  </si>
  <si>
    <t>1397/02/29</t>
  </si>
  <si>
    <t>1397/03/08</t>
  </si>
  <si>
    <t>1397/03/15</t>
  </si>
  <si>
    <t>1397/03/22</t>
  </si>
  <si>
    <t>1397/03/29</t>
  </si>
  <si>
    <t>1397/04/08</t>
  </si>
  <si>
    <t>1397/04/15</t>
  </si>
  <si>
    <t>1397/04/29</t>
  </si>
  <si>
    <t>1397/05/08</t>
  </si>
  <si>
    <t>1397/05/15</t>
  </si>
  <si>
    <t>1397/05/29</t>
  </si>
  <si>
    <t>1397/06/08</t>
  </si>
  <si>
    <t>1397/06/15</t>
  </si>
  <si>
    <t>1397/06/22</t>
  </si>
  <si>
    <t>1397/06/29</t>
  </si>
  <si>
    <t>1397/07/08</t>
  </si>
  <si>
    <t>1397/07/15</t>
  </si>
  <si>
    <t>1397/07/22</t>
  </si>
  <si>
    <t>1397/07/29</t>
  </si>
  <si>
    <t>1397/08/08</t>
  </si>
  <si>
    <t>1397/08/15</t>
  </si>
  <si>
    <t>1397/08/22</t>
  </si>
  <si>
    <t>1397/08/29</t>
  </si>
  <si>
    <t>1397/09/08</t>
  </si>
  <si>
    <t>1397/09/15</t>
  </si>
  <si>
    <t>1397/09/22</t>
  </si>
  <si>
    <t>1397/09/29</t>
  </si>
  <si>
    <t>1397/10/08</t>
  </si>
  <si>
    <t>1397/10/15</t>
  </si>
  <si>
    <t>1397/10/22</t>
  </si>
  <si>
    <t>1397/10/29</t>
  </si>
  <si>
    <t>1397/11/08</t>
  </si>
  <si>
    <t>1397/11/15</t>
  </si>
  <si>
    <t>1397/11/22</t>
  </si>
  <si>
    <t>1397/11/29</t>
  </si>
  <si>
    <t>1397/12/08</t>
  </si>
  <si>
    <t>1397/12/15</t>
  </si>
  <si>
    <t>1397/12/22</t>
  </si>
  <si>
    <t>1397/12/29</t>
  </si>
  <si>
    <t>1398/01/08</t>
  </si>
  <si>
    <t>1398/01/15</t>
  </si>
  <si>
    <t>1398/01/22</t>
  </si>
  <si>
    <t>1398/01/29</t>
  </si>
  <si>
    <t>1398/02/08</t>
  </si>
  <si>
    <t>1398/02/15</t>
  </si>
  <si>
    <t>1398/02/22</t>
  </si>
  <si>
    <t>1398/02/29</t>
  </si>
  <si>
    <t>1398/03/08</t>
  </si>
  <si>
    <t>1398/03/15</t>
  </si>
  <si>
    <t>1398/03/22</t>
  </si>
  <si>
    <t>1398/03/29</t>
  </si>
  <si>
    <t>1398/04/08</t>
  </si>
  <si>
    <t>1398/04/15</t>
  </si>
  <si>
    <t>1398/04/22</t>
  </si>
  <si>
    <t>1398/04/29</t>
  </si>
  <si>
    <t>1398/05/08</t>
  </si>
  <si>
    <t>1398/05/15</t>
  </si>
  <si>
    <t>1398/05/22</t>
  </si>
  <si>
    <t>1398/05/29</t>
  </si>
  <si>
    <t>1398/06/08</t>
  </si>
  <si>
    <t>1398/06/15</t>
  </si>
  <si>
    <t>1398/06/22</t>
  </si>
  <si>
    <t>1398/06/29</t>
  </si>
  <si>
    <t>1398/07/08</t>
  </si>
  <si>
    <t>1398/07/15</t>
  </si>
  <si>
    <t>1398/07/22</t>
  </si>
  <si>
    <t>1398/07/29</t>
  </si>
  <si>
    <t>1398/08/08</t>
  </si>
  <si>
    <t>1398/08/15</t>
  </si>
  <si>
    <t>1398/08/22</t>
  </si>
  <si>
    <t>1398/08/29</t>
  </si>
  <si>
    <t>1398/09/08</t>
  </si>
  <si>
    <t>1398/09/15</t>
  </si>
  <si>
    <t>1398/09/22</t>
  </si>
  <si>
    <t>1398/09/29</t>
  </si>
  <si>
    <t>1398/10/08</t>
  </si>
  <si>
    <t>1398/10/15</t>
  </si>
  <si>
    <t>1398/10/22</t>
  </si>
  <si>
    <t>1398/10/29</t>
  </si>
  <si>
    <t>1398/11/08</t>
  </si>
  <si>
    <t>1398/11/15</t>
  </si>
  <si>
    <t>1398/11/22</t>
  </si>
  <si>
    <t>1398/11/29</t>
  </si>
  <si>
    <t>30 وام آگاه</t>
  </si>
  <si>
    <t>علی جدا شد</t>
  </si>
  <si>
    <t>حساب رضا تا اول خرداد</t>
  </si>
  <si>
    <t>1404/09/04</t>
  </si>
  <si>
    <t>1404/09/05</t>
  </si>
  <si>
    <t>1404/09/08</t>
  </si>
  <si>
    <t>1404/09/09</t>
  </si>
  <si>
    <t>1404/09/11</t>
  </si>
  <si>
    <t>رضا, فاطمه, علی</t>
  </si>
  <si>
    <t>1404/09/12</t>
  </si>
  <si>
    <t>1404/09/15</t>
  </si>
  <si>
    <t>1404/09/16</t>
  </si>
  <si>
    <t>1404/09/18</t>
  </si>
  <si>
    <t>1404/09/19</t>
  </si>
  <si>
    <t>1404/09/22</t>
  </si>
  <si>
    <t>1404/09/23</t>
  </si>
  <si>
    <t>1404/09/24</t>
  </si>
  <si>
    <t>1404/09/25</t>
  </si>
  <si>
    <t>1404/09/26</t>
  </si>
  <si>
    <t>1404/09/29</t>
  </si>
  <si>
    <t>1404/09/30</t>
  </si>
  <si>
    <t>1404/10/01</t>
  </si>
  <si>
    <t>رضا و فاطمه و علی</t>
  </si>
  <si>
    <t>1404/10/02</t>
  </si>
  <si>
    <t>زکشت</t>
  </si>
  <si>
    <t>1404/10/03</t>
  </si>
  <si>
    <t>1404/10/06</t>
  </si>
  <si>
    <t>1404/10/07</t>
  </si>
  <si>
    <t>1404/10/08</t>
  </si>
  <si>
    <t>1404/10/09</t>
  </si>
  <si>
    <t>1404/10/10</t>
  </si>
  <si>
    <t>1404/10/11</t>
  </si>
  <si>
    <t>1404/10/15</t>
  </si>
  <si>
    <t>1404/10/16</t>
  </si>
  <si>
    <t>1404/10/17</t>
  </si>
  <si>
    <t>1404/10/20</t>
  </si>
  <si>
    <t>1404/10/21</t>
  </si>
  <si>
    <t>1404/10/22</t>
  </si>
  <si>
    <t>1404/10/23</t>
  </si>
  <si>
    <t>1404/10/24</t>
  </si>
  <si>
    <t>1404/10/28</t>
  </si>
  <si>
    <t>1404/10/29</t>
  </si>
  <si>
    <t>1404/10/30</t>
  </si>
  <si>
    <t>1404/11/01</t>
  </si>
  <si>
    <t>رضا و وحیده و علی</t>
  </si>
  <si>
    <t>پیشرو</t>
  </si>
  <si>
    <t>1404/11/04</t>
  </si>
  <si>
    <t>1404/11/05</t>
  </si>
  <si>
    <t>1404/11/06</t>
  </si>
  <si>
    <t>1404/11/07</t>
  </si>
  <si>
    <t>1404/11/08</t>
  </si>
  <si>
    <t>1404/11/11</t>
  </si>
  <si>
    <t>1404/11/12</t>
  </si>
  <si>
    <t>1404/11/13</t>
  </si>
  <si>
    <t>1404/11/14</t>
  </si>
  <si>
    <t>1404/11/15</t>
  </si>
  <si>
    <t>1404/11/16</t>
  </si>
  <si>
    <t>مادر</t>
  </si>
  <si>
    <t>1404/11/17</t>
  </si>
  <si>
    <t>1404/11/18</t>
  </si>
  <si>
    <t>1404/11/25</t>
  </si>
  <si>
    <t>1404/11/26</t>
  </si>
  <si>
    <t>1404/11/27</t>
  </si>
  <si>
    <t>1404/11/28</t>
  </si>
  <si>
    <t>1404/11/29</t>
  </si>
  <si>
    <t>1404/12/02</t>
  </si>
  <si>
    <t>رضا و فاطمه</t>
  </si>
  <si>
    <t>1404/12/03</t>
  </si>
  <si>
    <t>1404/12/04</t>
  </si>
  <si>
    <t>1404/12/05</t>
  </si>
  <si>
    <t>1404/12/06</t>
  </si>
  <si>
    <t>1405/02/29</t>
  </si>
  <si>
    <t>1405/02/30</t>
  </si>
  <si>
    <t>مجموع طلا</t>
  </si>
  <si>
    <t>مجموع سهام</t>
  </si>
  <si>
    <t>1405/03/02</t>
  </si>
  <si>
    <t>1405/03/03</t>
  </si>
  <si>
    <t>1405/03/04</t>
  </si>
  <si>
    <t>1405/03/05</t>
  </si>
  <si>
    <t>پدر</t>
  </si>
  <si>
    <t>1405/03/09</t>
  </si>
  <si>
    <t>1405/03/10</t>
  </si>
  <si>
    <t>1405/03/11</t>
  </si>
  <si>
    <t>1405/03/12</t>
  </si>
  <si>
    <t>1405/03/13</t>
  </si>
  <si>
    <t>1405/03/16</t>
  </si>
  <si>
    <t>1405/03/17</t>
  </si>
  <si>
    <t>1405/03/18</t>
  </si>
  <si>
    <t>1405/03/19</t>
  </si>
  <si>
    <t>1405/03/20</t>
  </si>
  <si>
    <t>1405/03/2۳</t>
  </si>
  <si>
    <t>1405/03/24</t>
  </si>
  <si>
    <t>1405/03/25</t>
  </si>
  <si>
    <t>1405/03/26</t>
  </si>
  <si>
    <t>1405/03/27</t>
  </si>
  <si>
    <t>1405/03/30</t>
  </si>
  <si>
    <t>1405/04/01</t>
  </si>
  <si>
    <t>1405/04/02</t>
  </si>
  <si>
    <t>1405/04/03</t>
  </si>
  <si>
    <t>1405/04/06</t>
  </si>
  <si>
    <t>1405/04/07</t>
  </si>
  <si>
    <t>1405/04/08</t>
  </si>
  <si>
    <t>1405/04/09</t>
  </si>
  <si>
    <t>1405/04/16</t>
  </si>
  <si>
    <t>1405/04/17</t>
  </si>
  <si>
    <t>1405/04/18</t>
  </si>
  <si>
    <t>علی و رضا و مادر و فاطمه</t>
  </si>
  <si>
    <t>1405/04/19</t>
  </si>
  <si>
    <t>1405/04/20</t>
  </si>
  <si>
    <t>1405/04/21</t>
  </si>
  <si>
    <t>1405/04/22</t>
  </si>
  <si>
    <t>1405/04/23</t>
  </si>
  <si>
    <t>1405/04/30</t>
  </si>
  <si>
    <t>1405/04/31</t>
  </si>
  <si>
    <t>شبهرن</t>
  </si>
  <si>
    <t>1405/05/03</t>
  </si>
  <si>
    <t>1405/05/04</t>
  </si>
  <si>
    <t>1405/05/05</t>
  </si>
  <si>
    <t>1405/05/06</t>
  </si>
  <si>
    <t>1405/05/07</t>
  </si>
  <si>
    <t>دارو</t>
  </si>
  <si>
    <t>1405/05/11</t>
  </si>
  <si>
    <t>1405/05/10</t>
  </si>
  <si>
    <t>1405/05/12</t>
  </si>
  <si>
    <t>1405/05/14</t>
  </si>
  <si>
    <t>مجموع دلار</t>
  </si>
  <si>
    <t>1405/05/17</t>
  </si>
  <si>
    <t>کپرور</t>
  </si>
  <si>
    <t>1405/05/18</t>
  </si>
  <si>
    <t>دقاضی</t>
  </si>
  <si>
    <t>1405/05/19</t>
  </si>
  <si>
    <t>1405/05/20</t>
  </si>
  <si>
    <t>1405/05/24</t>
  </si>
  <si>
    <t>1405/05/25</t>
  </si>
  <si>
    <t>1405/05/26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</si>
</sst>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000%"/>
    <numFmt numFmtId="167" formatCode="m/d;@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36"/>
      <color theme="1"/>
      <name val="B Nazanin"/>
      <charset val="178"/>
    </font>
    <font>
      <b/>
      <sz val="36"/>
      <color theme="1"/>
      <name val="B Nazanin"/>
      <charset val="178"/>
    </font>
    <font>
      <sz val="36"/>
      <color theme="1"/>
      <name val="Calibri"/>
      <family val="2"/>
      <scheme val="minor"/>
    </font>
    <font>
      <sz val="36"/>
      <color rgb="FF92D050"/>
      <name val="B Nazanin"/>
      <charset val="178"/>
    </font>
    <font>
      <b/>
      <sz val="36"/>
      <color theme="9"/>
      <name val="B Nazanin"/>
      <charset val="178"/>
    </font>
    <font>
      <sz val="28"/>
      <color theme="1"/>
      <name val="Calibri"/>
      <family val="2"/>
      <scheme val="minor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</cellStyleXfs>
  <cellXfs count="138">
    <xf numFmtId="0" fontId="0" fillId="0" borderId="0" xfId="0"/>
    <xf numFmtId="0" fontId="5" fillId="0" borderId="0" xfId="0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" fontId="7" fillId="0" borderId="0" xfId="2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3" fontId="4" fillId="2" borderId="0" xfId="2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4" fillId="3" borderId="0" xfId="2" applyNumberFormat="1" applyFont="1" applyFill="1" applyAlignment="1">
      <alignment horizontal="center" vertical="center"/>
    </xf>
    <xf numFmtId="43" fontId="4" fillId="0" borderId="0" xfId="2" applyFont="1" applyFill="1" applyAlignment="1">
      <alignment horizontal="center" vertical="center"/>
    </xf>
    <xf numFmtId="164" fontId="3" fillId="0" borderId="0" xfId="2" applyNumberFormat="1" applyFont="1" applyFill="1" applyAlignment="1">
      <alignment horizontal="center" vertical="center"/>
    </xf>
    <xf numFmtId="164" fontId="3" fillId="4" borderId="0" xfId="2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3" fontId="4" fillId="0" borderId="1" xfId="2" applyNumberFormat="1" applyFont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10" fontId="4" fillId="0" borderId="0" xfId="3" applyNumberFormat="1" applyFont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0" fontId="4" fillId="0" borderId="0" xfId="3" applyNumberFormat="1" applyFont="1" applyFill="1" applyAlignment="1">
      <alignment horizontal="center" vertical="center"/>
    </xf>
    <xf numFmtId="0" fontId="12" fillId="5" borderId="0" xfId="4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10" fontId="4" fillId="0" borderId="1" xfId="3" applyNumberFormat="1" applyFont="1" applyBorder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11" fontId="9" fillId="0" borderId="0" xfId="3" applyNumberFormat="1" applyFont="1" applyAlignment="1">
      <alignment horizontal="center" vertical="center"/>
    </xf>
    <xf numFmtId="0" fontId="13" fillId="6" borderId="0" xfId="5" applyAlignment="1">
      <alignment horizontal="center" vertical="center"/>
    </xf>
    <xf numFmtId="9" fontId="9" fillId="0" borderId="0" xfId="3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5" fillId="0" borderId="0" xfId="3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3" fillId="0" borderId="0" xfId="2" applyFont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">
    <cellStyle name="Bad" xfId="5" builtinId="27"/>
    <cellStyle name="Comma" xfId="2" builtinId="3"/>
    <cellStyle name="Good" xfId="4" builtinId="26"/>
    <cellStyle name="Normal" xfId="0" builtinId="0"/>
    <cellStyle name="Normal 2" xfId="1" xr:uid="{00000000-0005-0000-0000-000001000000}"/>
    <cellStyle name="Percent" xfId="3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05908696455392"/>
          <c:y val="8.0636789312201237E-2"/>
          <c:w val="0.80451239364425753"/>
          <c:h val="0.81973652137413455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دارایی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Sheet2!$A$2:$A$1142</c:f>
              <c:strCache>
                <c:ptCount val="1089"/>
                <c:pt idx="0">
                  <c:v>1397/01/01</c:v>
                </c:pt>
                <c:pt idx="1">
                  <c:v>1397/01/08</c:v>
                </c:pt>
                <c:pt idx="2">
                  <c:v>1397/01/15</c:v>
                </c:pt>
                <c:pt idx="3">
                  <c:v>1397/01/22</c:v>
                </c:pt>
                <c:pt idx="4">
                  <c:v>1397/01/29</c:v>
                </c:pt>
                <c:pt idx="5">
                  <c:v>1397/02/01</c:v>
                </c:pt>
                <c:pt idx="6">
                  <c:v>1397/02/08</c:v>
                </c:pt>
                <c:pt idx="7">
                  <c:v>1397/02/15</c:v>
                </c:pt>
                <c:pt idx="8">
                  <c:v>1397/02/22</c:v>
                </c:pt>
                <c:pt idx="9">
                  <c:v>1397/02/29</c:v>
                </c:pt>
                <c:pt idx="10">
                  <c:v>1397/03/01</c:v>
                </c:pt>
                <c:pt idx="11">
                  <c:v>1397/03/08</c:v>
                </c:pt>
                <c:pt idx="12">
                  <c:v>1397/03/15</c:v>
                </c:pt>
                <c:pt idx="13">
                  <c:v>1397/03/22</c:v>
                </c:pt>
                <c:pt idx="14">
                  <c:v>1397/03/29</c:v>
                </c:pt>
                <c:pt idx="15">
                  <c:v>1397/04/01</c:v>
                </c:pt>
                <c:pt idx="16">
                  <c:v>1397/04/08</c:v>
                </c:pt>
                <c:pt idx="17">
                  <c:v>1397/04/15</c:v>
                </c:pt>
                <c:pt idx="18">
                  <c:v>1397/04/29</c:v>
                </c:pt>
                <c:pt idx="19">
                  <c:v>1397/05/01</c:v>
                </c:pt>
                <c:pt idx="20">
                  <c:v>1397/05/08</c:v>
                </c:pt>
                <c:pt idx="21">
                  <c:v>1397/05/15</c:v>
                </c:pt>
                <c:pt idx="22">
                  <c:v>1397/05/29</c:v>
                </c:pt>
                <c:pt idx="23">
                  <c:v>1397/06/01</c:v>
                </c:pt>
                <c:pt idx="24">
                  <c:v>1397/06/08</c:v>
                </c:pt>
                <c:pt idx="25">
                  <c:v>1397/06/15</c:v>
                </c:pt>
                <c:pt idx="26">
                  <c:v>1397/06/22</c:v>
                </c:pt>
                <c:pt idx="27">
                  <c:v>1397/06/29</c:v>
                </c:pt>
                <c:pt idx="28">
                  <c:v>1397/07/01</c:v>
                </c:pt>
                <c:pt idx="29">
                  <c:v>1397/07/08</c:v>
                </c:pt>
                <c:pt idx="30">
                  <c:v>1397/07/15</c:v>
                </c:pt>
                <c:pt idx="31">
                  <c:v>1397/07/22</c:v>
                </c:pt>
                <c:pt idx="32">
                  <c:v>1397/07/29</c:v>
                </c:pt>
                <c:pt idx="33">
                  <c:v>1397/08/01</c:v>
                </c:pt>
                <c:pt idx="34">
                  <c:v>1397/08/08</c:v>
                </c:pt>
                <c:pt idx="35">
                  <c:v>1397/08/15</c:v>
                </c:pt>
                <c:pt idx="36">
                  <c:v>1397/08/22</c:v>
                </c:pt>
                <c:pt idx="37">
                  <c:v>1397/08/29</c:v>
                </c:pt>
                <c:pt idx="38">
                  <c:v>1397/09/01</c:v>
                </c:pt>
                <c:pt idx="39">
                  <c:v>1397/09/08</c:v>
                </c:pt>
                <c:pt idx="40">
                  <c:v>1397/09/15</c:v>
                </c:pt>
                <c:pt idx="41">
                  <c:v>1397/09/22</c:v>
                </c:pt>
                <c:pt idx="42">
                  <c:v>1397/09/29</c:v>
                </c:pt>
                <c:pt idx="43">
                  <c:v>1397/10/01</c:v>
                </c:pt>
                <c:pt idx="44">
                  <c:v>1397/10/08</c:v>
                </c:pt>
                <c:pt idx="45">
                  <c:v>1397/10/15</c:v>
                </c:pt>
                <c:pt idx="46">
                  <c:v>1397/10/22</c:v>
                </c:pt>
                <c:pt idx="47">
                  <c:v>1397/10/29</c:v>
                </c:pt>
                <c:pt idx="48">
                  <c:v>1397/11/01</c:v>
                </c:pt>
                <c:pt idx="49">
                  <c:v>1397/11/08</c:v>
                </c:pt>
                <c:pt idx="50">
                  <c:v>1397/11/15</c:v>
                </c:pt>
                <c:pt idx="51">
                  <c:v>1397/11/22</c:v>
                </c:pt>
                <c:pt idx="52">
                  <c:v>1397/11/29</c:v>
                </c:pt>
                <c:pt idx="53">
                  <c:v>1397/12/01</c:v>
                </c:pt>
                <c:pt idx="54">
                  <c:v>1397/12/08</c:v>
                </c:pt>
                <c:pt idx="55">
                  <c:v>1397/12/15</c:v>
                </c:pt>
                <c:pt idx="56">
                  <c:v>1397/12/22</c:v>
                </c:pt>
                <c:pt idx="57">
                  <c:v>1397/12/29</c:v>
                </c:pt>
                <c:pt idx="58">
                  <c:v>1398/01/01</c:v>
                </c:pt>
                <c:pt idx="59">
                  <c:v>1398/01/08</c:v>
                </c:pt>
                <c:pt idx="60">
                  <c:v>1398/01/15</c:v>
                </c:pt>
                <c:pt idx="61">
                  <c:v>1398/01/22</c:v>
                </c:pt>
                <c:pt idx="62">
                  <c:v>1398/01/29</c:v>
                </c:pt>
                <c:pt idx="63">
                  <c:v>1398/02/01</c:v>
                </c:pt>
                <c:pt idx="64">
                  <c:v>1398/02/08</c:v>
                </c:pt>
                <c:pt idx="65">
                  <c:v>1398/02/15</c:v>
                </c:pt>
                <c:pt idx="66">
                  <c:v>1398/02/22</c:v>
                </c:pt>
                <c:pt idx="67">
                  <c:v>1398/02/29</c:v>
                </c:pt>
                <c:pt idx="68">
                  <c:v>1398/03/01</c:v>
                </c:pt>
                <c:pt idx="69">
                  <c:v>1398/03/08</c:v>
                </c:pt>
                <c:pt idx="70">
                  <c:v>1398/03/15</c:v>
                </c:pt>
                <c:pt idx="71">
                  <c:v>1398/03/22</c:v>
                </c:pt>
                <c:pt idx="72">
                  <c:v>1398/03/29</c:v>
                </c:pt>
                <c:pt idx="73">
                  <c:v>1398/04/01</c:v>
                </c:pt>
                <c:pt idx="74">
                  <c:v>1398/04/08</c:v>
                </c:pt>
                <c:pt idx="75">
                  <c:v>1398/04/15</c:v>
                </c:pt>
                <c:pt idx="76">
                  <c:v>1398/04/22</c:v>
                </c:pt>
                <c:pt idx="77">
                  <c:v>1398/04/29</c:v>
                </c:pt>
                <c:pt idx="78">
                  <c:v>1398/05/01</c:v>
                </c:pt>
                <c:pt idx="79">
                  <c:v>1398/05/08</c:v>
                </c:pt>
                <c:pt idx="80">
                  <c:v>1398/05/15</c:v>
                </c:pt>
                <c:pt idx="81">
                  <c:v>1398/05/22</c:v>
                </c:pt>
                <c:pt idx="82">
                  <c:v>1398/05/29</c:v>
                </c:pt>
                <c:pt idx="83">
                  <c:v>1398/06/01</c:v>
                </c:pt>
                <c:pt idx="84">
                  <c:v>1398/06/08</c:v>
                </c:pt>
                <c:pt idx="85">
                  <c:v>1398/06/15</c:v>
                </c:pt>
                <c:pt idx="86">
                  <c:v>1398/06/22</c:v>
                </c:pt>
                <c:pt idx="87">
                  <c:v>1398/06/29</c:v>
                </c:pt>
                <c:pt idx="88">
                  <c:v>1398/07/01</c:v>
                </c:pt>
                <c:pt idx="89">
                  <c:v>1398/07/08</c:v>
                </c:pt>
                <c:pt idx="90">
                  <c:v>1398/07/15</c:v>
                </c:pt>
                <c:pt idx="91">
                  <c:v>1398/07/22</c:v>
                </c:pt>
                <c:pt idx="92">
                  <c:v>1398/07/29</c:v>
                </c:pt>
                <c:pt idx="93">
                  <c:v>1398/08/01</c:v>
                </c:pt>
                <c:pt idx="94">
                  <c:v>1398/08/08</c:v>
                </c:pt>
                <c:pt idx="95">
                  <c:v>1398/08/15</c:v>
                </c:pt>
                <c:pt idx="96">
                  <c:v>1398/08/22</c:v>
                </c:pt>
                <c:pt idx="97">
                  <c:v>1398/08/29</c:v>
                </c:pt>
                <c:pt idx="98">
                  <c:v>1398/09/01</c:v>
                </c:pt>
                <c:pt idx="99">
                  <c:v>1398/09/08</c:v>
                </c:pt>
                <c:pt idx="100">
                  <c:v>1398/09/15</c:v>
                </c:pt>
                <c:pt idx="101">
                  <c:v>1398/09/22</c:v>
                </c:pt>
                <c:pt idx="102">
                  <c:v>1398/09/29</c:v>
                </c:pt>
                <c:pt idx="103">
                  <c:v>1398/10/01</c:v>
                </c:pt>
                <c:pt idx="104">
                  <c:v>1398/10/08</c:v>
                </c:pt>
                <c:pt idx="105">
                  <c:v>1398/10/15</c:v>
                </c:pt>
                <c:pt idx="106">
                  <c:v>1398/10/22</c:v>
                </c:pt>
                <c:pt idx="107">
                  <c:v>1398/10/29</c:v>
                </c:pt>
                <c:pt idx="108">
                  <c:v>1398/11/01</c:v>
                </c:pt>
                <c:pt idx="109">
                  <c:v>1398/11/08</c:v>
                </c:pt>
                <c:pt idx="110">
                  <c:v>1398/11/15</c:v>
                </c:pt>
                <c:pt idx="111">
                  <c:v>1398/11/22</c:v>
                </c:pt>
                <c:pt idx="112">
                  <c:v>1398/11/29</c:v>
                </c:pt>
                <c:pt idx="113">
                  <c:v>1398/12/01</c:v>
                </c:pt>
                <c:pt idx="114">
                  <c:v>1399/01/01</c:v>
                </c:pt>
                <c:pt idx="115">
                  <c:v>1399/01/08</c:v>
                </c:pt>
                <c:pt idx="116">
                  <c:v>1399/01/15</c:v>
                </c:pt>
                <c:pt idx="117">
                  <c:v>1399/01/22</c:v>
                </c:pt>
                <c:pt idx="118">
                  <c:v>1399/01/29</c:v>
                </c:pt>
                <c:pt idx="119">
                  <c:v>1399/02/01</c:v>
                </c:pt>
                <c:pt idx="120">
                  <c:v>1399/02/08</c:v>
                </c:pt>
                <c:pt idx="121">
                  <c:v>1399/02/15</c:v>
                </c:pt>
                <c:pt idx="122">
                  <c:v>1399/02/22</c:v>
                </c:pt>
                <c:pt idx="123">
                  <c:v>1399/02/29</c:v>
                </c:pt>
                <c:pt idx="124">
                  <c:v>1399/03/01</c:v>
                </c:pt>
                <c:pt idx="125">
                  <c:v>1399/03/08</c:v>
                </c:pt>
                <c:pt idx="126">
                  <c:v>1399/03/15</c:v>
                </c:pt>
                <c:pt idx="127">
                  <c:v>1399/03/22</c:v>
                </c:pt>
                <c:pt idx="128">
                  <c:v>1399/03/29</c:v>
                </c:pt>
                <c:pt idx="129">
                  <c:v>1399/04/01</c:v>
                </c:pt>
                <c:pt idx="130">
                  <c:v>1399/04/08</c:v>
                </c:pt>
                <c:pt idx="131">
                  <c:v>1399/04/15</c:v>
                </c:pt>
                <c:pt idx="132">
                  <c:v>1399/04/22</c:v>
                </c:pt>
                <c:pt idx="133">
                  <c:v>1399/04/29</c:v>
                </c:pt>
                <c:pt idx="134">
                  <c:v>1399/05/01</c:v>
                </c:pt>
                <c:pt idx="135">
                  <c:v>1399/05/06</c:v>
                </c:pt>
                <c:pt idx="136">
                  <c:v>1399/05/13</c:v>
                </c:pt>
                <c:pt idx="137">
                  <c:v>1399/05/20</c:v>
                </c:pt>
                <c:pt idx="138">
                  <c:v>1399/05/27</c:v>
                </c:pt>
                <c:pt idx="139">
                  <c:v>1399/06/01</c:v>
                </c:pt>
                <c:pt idx="140">
                  <c:v>1399/06/08</c:v>
                </c:pt>
                <c:pt idx="141">
                  <c:v>1399/06/15</c:v>
                </c:pt>
                <c:pt idx="142">
                  <c:v>1399/06/22</c:v>
                </c:pt>
                <c:pt idx="143">
                  <c:v>1399/06/29</c:v>
                </c:pt>
                <c:pt idx="144">
                  <c:v>1399/07/01</c:v>
                </c:pt>
                <c:pt idx="145">
                  <c:v>1399/07/08</c:v>
                </c:pt>
                <c:pt idx="146">
                  <c:v>1399/07/15</c:v>
                </c:pt>
                <c:pt idx="147">
                  <c:v>1399/07/22</c:v>
                </c:pt>
                <c:pt idx="148">
                  <c:v>1399/07/29</c:v>
                </c:pt>
                <c:pt idx="149">
                  <c:v>1399/08/01</c:v>
                </c:pt>
                <c:pt idx="150">
                  <c:v>1399/08/08</c:v>
                </c:pt>
                <c:pt idx="151">
                  <c:v>1399/08/15</c:v>
                </c:pt>
                <c:pt idx="152">
                  <c:v>1399/08/22</c:v>
                </c:pt>
                <c:pt idx="153">
                  <c:v>1399/08/29</c:v>
                </c:pt>
                <c:pt idx="154">
                  <c:v>1399/09/01</c:v>
                </c:pt>
                <c:pt idx="155">
                  <c:v>1399/09/08</c:v>
                </c:pt>
                <c:pt idx="156">
                  <c:v>1399/09/15</c:v>
                </c:pt>
                <c:pt idx="157">
                  <c:v>1399/09/22</c:v>
                </c:pt>
                <c:pt idx="158">
                  <c:v>1399/09/29</c:v>
                </c:pt>
                <c:pt idx="159">
                  <c:v>1399/10/01</c:v>
                </c:pt>
                <c:pt idx="160">
                  <c:v>1399/10/08</c:v>
                </c:pt>
                <c:pt idx="161">
                  <c:v>1399/10/15</c:v>
                </c:pt>
                <c:pt idx="162">
                  <c:v>1399/10/22</c:v>
                </c:pt>
                <c:pt idx="163">
                  <c:v>1399/10/29</c:v>
                </c:pt>
                <c:pt idx="164">
                  <c:v>1399/11/01</c:v>
                </c:pt>
                <c:pt idx="165">
                  <c:v>1399/11/08</c:v>
                </c:pt>
                <c:pt idx="166">
                  <c:v>1399/11/15</c:v>
                </c:pt>
                <c:pt idx="167">
                  <c:v>1399/11/22</c:v>
                </c:pt>
                <c:pt idx="168">
                  <c:v>1399/11/29</c:v>
                </c:pt>
                <c:pt idx="169">
                  <c:v>1399/12/01</c:v>
                </c:pt>
                <c:pt idx="170">
                  <c:v>1399/12/08</c:v>
                </c:pt>
                <c:pt idx="171">
                  <c:v>1399/12/15</c:v>
                </c:pt>
                <c:pt idx="172">
                  <c:v>1399/12/22</c:v>
                </c:pt>
                <c:pt idx="173">
                  <c:v>1399/12/29</c:v>
                </c:pt>
                <c:pt idx="174">
                  <c:v>1400/01/01</c:v>
                </c:pt>
                <c:pt idx="175">
                  <c:v>1400/01/08</c:v>
                </c:pt>
                <c:pt idx="176">
                  <c:v>1400/01/15</c:v>
                </c:pt>
                <c:pt idx="177">
                  <c:v>1400/01/22</c:v>
                </c:pt>
                <c:pt idx="178">
                  <c:v>1400/01/29</c:v>
                </c:pt>
                <c:pt idx="179">
                  <c:v>1400/02/01</c:v>
                </c:pt>
                <c:pt idx="180">
                  <c:v>1400/02/08</c:v>
                </c:pt>
                <c:pt idx="181">
                  <c:v>1400/02/15</c:v>
                </c:pt>
                <c:pt idx="182">
                  <c:v>1400/02/22</c:v>
                </c:pt>
                <c:pt idx="183">
                  <c:v>1400/02/29</c:v>
                </c:pt>
                <c:pt idx="184">
                  <c:v>1400/03/01</c:v>
                </c:pt>
                <c:pt idx="185">
                  <c:v>1400/03/08</c:v>
                </c:pt>
                <c:pt idx="186">
                  <c:v>1400/03/15</c:v>
                </c:pt>
                <c:pt idx="187">
                  <c:v>1400/03/22</c:v>
                </c:pt>
                <c:pt idx="188">
                  <c:v>1400/03/29</c:v>
                </c:pt>
                <c:pt idx="189">
                  <c:v>1400/04/01</c:v>
                </c:pt>
                <c:pt idx="190">
                  <c:v>1400/05/17</c:v>
                </c:pt>
                <c:pt idx="191">
                  <c:v>1400/05/17</c:v>
                </c:pt>
                <c:pt idx="192">
                  <c:v>1400/05/18</c:v>
                </c:pt>
                <c:pt idx="193">
                  <c:v>1400/05/19</c:v>
                </c:pt>
                <c:pt idx="194">
                  <c:v>1400/05/20</c:v>
                </c:pt>
                <c:pt idx="195">
                  <c:v>1400/05/23</c:v>
                </c:pt>
                <c:pt idx="196">
                  <c:v>1400/05/24</c:v>
                </c:pt>
                <c:pt idx="197">
                  <c:v>1400/05/31</c:v>
                </c:pt>
                <c:pt idx="198">
                  <c:v>1400/06/01</c:v>
                </c:pt>
                <c:pt idx="199">
                  <c:v>1400/06/02</c:v>
                </c:pt>
                <c:pt idx="200">
                  <c:v>1400/06/03</c:v>
                </c:pt>
                <c:pt idx="201">
                  <c:v>1400/06/06</c:v>
                </c:pt>
                <c:pt idx="202">
                  <c:v>1400/06/07</c:v>
                </c:pt>
                <c:pt idx="203">
                  <c:v>1400/06/08</c:v>
                </c:pt>
                <c:pt idx="204">
                  <c:v>1400/06/09</c:v>
                </c:pt>
                <c:pt idx="205">
                  <c:v>1400/06/10</c:v>
                </c:pt>
                <c:pt idx="206">
                  <c:v>1400/06/13</c:v>
                </c:pt>
                <c:pt idx="207">
                  <c:v>1400/06/14</c:v>
                </c:pt>
                <c:pt idx="208">
                  <c:v>1400/06/15</c:v>
                </c:pt>
                <c:pt idx="209">
                  <c:v>1400/06/16</c:v>
                </c:pt>
                <c:pt idx="210">
                  <c:v>1400/06/17</c:v>
                </c:pt>
                <c:pt idx="211">
                  <c:v>1400/06/20</c:v>
                </c:pt>
                <c:pt idx="212">
                  <c:v>1400/06/21</c:v>
                </c:pt>
                <c:pt idx="213">
                  <c:v>1400/06/22</c:v>
                </c:pt>
                <c:pt idx="214">
                  <c:v>1400/06/23</c:v>
                </c:pt>
                <c:pt idx="215">
                  <c:v>1400/06/24</c:v>
                </c:pt>
                <c:pt idx="216">
                  <c:v>1400/06/27</c:v>
                </c:pt>
                <c:pt idx="217">
                  <c:v>1400/06/28</c:v>
                </c:pt>
                <c:pt idx="218">
                  <c:v>1400/06/29</c:v>
                </c:pt>
                <c:pt idx="219">
                  <c:v>1400/06/30</c:v>
                </c:pt>
                <c:pt idx="220">
                  <c:v>1400/06/31</c:v>
                </c:pt>
                <c:pt idx="221">
                  <c:v>1400/07/03</c:v>
                </c:pt>
                <c:pt idx="222">
                  <c:v>1400/07/04</c:v>
                </c:pt>
                <c:pt idx="223">
                  <c:v>1400/07/06</c:v>
                </c:pt>
                <c:pt idx="224">
                  <c:v>1400/07/07</c:v>
                </c:pt>
                <c:pt idx="225">
                  <c:v>1400/07/10</c:v>
                </c:pt>
                <c:pt idx="226">
                  <c:v>1400/07/11</c:v>
                </c:pt>
                <c:pt idx="227">
                  <c:v>1400/07/12</c:v>
                </c:pt>
                <c:pt idx="228">
                  <c:v>1400/07/14</c:v>
                </c:pt>
                <c:pt idx="229">
                  <c:v>1400/07/17</c:v>
                </c:pt>
                <c:pt idx="230">
                  <c:v>1400/07/18</c:v>
                </c:pt>
                <c:pt idx="231">
                  <c:v>1400/07/19</c:v>
                </c:pt>
                <c:pt idx="232">
                  <c:v>1400/07/20</c:v>
                </c:pt>
                <c:pt idx="233">
                  <c:v>1400/07/21</c:v>
                </c:pt>
                <c:pt idx="234">
                  <c:v>1400/07/24</c:v>
                </c:pt>
                <c:pt idx="235">
                  <c:v>1400/07/25</c:v>
                </c:pt>
                <c:pt idx="236">
                  <c:v>1400/07/26</c:v>
                </c:pt>
                <c:pt idx="237">
                  <c:v>1400/07/27</c:v>
                </c:pt>
                <c:pt idx="238">
                  <c:v>1400/07/28</c:v>
                </c:pt>
                <c:pt idx="239">
                  <c:v>1400/08/01</c:v>
                </c:pt>
                <c:pt idx="240">
                  <c:v>1400/08/03</c:v>
                </c:pt>
                <c:pt idx="241">
                  <c:v>1400/08/04</c:v>
                </c:pt>
                <c:pt idx="242">
                  <c:v>1400/08/05</c:v>
                </c:pt>
                <c:pt idx="243">
                  <c:v>1400/08/08</c:v>
                </c:pt>
                <c:pt idx="244">
                  <c:v>1400/08/09</c:v>
                </c:pt>
                <c:pt idx="245">
                  <c:v>1400/08/10</c:v>
                </c:pt>
                <c:pt idx="246">
                  <c:v>1400/08/11</c:v>
                </c:pt>
                <c:pt idx="247">
                  <c:v>1400/08/12</c:v>
                </c:pt>
                <c:pt idx="248">
                  <c:v>1400/08/15</c:v>
                </c:pt>
                <c:pt idx="249">
                  <c:v>1400/08/16</c:v>
                </c:pt>
                <c:pt idx="250">
                  <c:v>1400/08/17</c:v>
                </c:pt>
                <c:pt idx="251">
                  <c:v>1400/08/18</c:v>
                </c:pt>
                <c:pt idx="252">
                  <c:v>1400/08/19</c:v>
                </c:pt>
                <c:pt idx="253">
                  <c:v>1400/08/22</c:v>
                </c:pt>
                <c:pt idx="254">
                  <c:v>1400/08/23</c:v>
                </c:pt>
                <c:pt idx="255">
                  <c:v>1400/08/24</c:v>
                </c:pt>
                <c:pt idx="256">
                  <c:v>1400/08/25</c:v>
                </c:pt>
                <c:pt idx="257">
                  <c:v>1400/08/26</c:v>
                </c:pt>
                <c:pt idx="258">
                  <c:v>1400/08/29</c:v>
                </c:pt>
                <c:pt idx="259">
                  <c:v>1400/08/30</c:v>
                </c:pt>
                <c:pt idx="260">
                  <c:v>1400/09/01</c:v>
                </c:pt>
                <c:pt idx="261">
                  <c:v>1400/09/02</c:v>
                </c:pt>
                <c:pt idx="262">
                  <c:v>1400/09/03</c:v>
                </c:pt>
                <c:pt idx="263">
                  <c:v>1400/09/06</c:v>
                </c:pt>
                <c:pt idx="264">
                  <c:v>1400/09/07</c:v>
                </c:pt>
                <c:pt idx="265">
                  <c:v>1400/09/08</c:v>
                </c:pt>
                <c:pt idx="266">
                  <c:v>1400/09/09</c:v>
                </c:pt>
                <c:pt idx="267">
                  <c:v>1400/09/10</c:v>
                </c:pt>
                <c:pt idx="268">
                  <c:v>1400/09/13</c:v>
                </c:pt>
                <c:pt idx="269">
                  <c:v>1400/09/14</c:v>
                </c:pt>
                <c:pt idx="270">
                  <c:v>1400/09/15</c:v>
                </c:pt>
                <c:pt idx="271">
                  <c:v>1400/09/16</c:v>
                </c:pt>
                <c:pt idx="272">
                  <c:v>1400/09/17</c:v>
                </c:pt>
                <c:pt idx="273">
                  <c:v>1400/09/20</c:v>
                </c:pt>
                <c:pt idx="274">
                  <c:v>1400/09/21</c:v>
                </c:pt>
                <c:pt idx="275">
                  <c:v>1400/09/22</c:v>
                </c:pt>
                <c:pt idx="276">
                  <c:v>1400/09/23</c:v>
                </c:pt>
                <c:pt idx="277">
                  <c:v>1400/09/24</c:v>
                </c:pt>
                <c:pt idx="278">
                  <c:v>1400/09/27</c:v>
                </c:pt>
                <c:pt idx="279">
                  <c:v>1400/09/28</c:v>
                </c:pt>
                <c:pt idx="280">
                  <c:v>1400/09/29</c:v>
                </c:pt>
                <c:pt idx="281">
                  <c:v>1400/09/30</c:v>
                </c:pt>
                <c:pt idx="282">
                  <c:v>1400/10/01</c:v>
                </c:pt>
                <c:pt idx="283">
                  <c:v>1400/10/04</c:v>
                </c:pt>
                <c:pt idx="284">
                  <c:v>1400/10/05</c:v>
                </c:pt>
                <c:pt idx="285">
                  <c:v>1400/10/06</c:v>
                </c:pt>
                <c:pt idx="286">
                  <c:v>1400/10/07</c:v>
                </c:pt>
                <c:pt idx="287">
                  <c:v>1400/10/08</c:v>
                </c:pt>
                <c:pt idx="288">
                  <c:v>1400/10/11</c:v>
                </c:pt>
                <c:pt idx="289">
                  <c:v>1400/10/12</c:v>
                </c:pt>
                <c:pt idx="290">
                  <c:v>1400/10/13</c:v>
                </c:pt>
                <c:pt idx="291">
                  <c:v>1400/10/14</c:v>
                </c:pt>
                <c:pt idx="292">
                  <c:v>1400/10/15</c:v>
                </c:pt>
                <c:pt idx="293">
                  <c:v>1400/10/18</c:v>
                </c:pt>
                <c:pt idx="294">
                  <c:v>1400/10/19</c:v>
                </c:pt>
                <c:pt idx="295">
                  <c:v>1400/10/20</c:v>
                </c:pt>
                <c:pt idx="296">
                  <c:v>1400/10/21</c:v>
                </c:pt>
                <c:pt idx="297">
                  <c:v>1400/10/22</c:v>
                </c:pt>
                <c:pt idx="298">
                  <c:v>1400/10/25</c:v>
                </c:pt>
                <c:pt idx="299">
                  <c:v>1400/10/26</c:v>
                </c:pt>
                <c:pt idx="300">
                  <c:v>1400/10/27</c:v>
                </c:pt>
                <c:pt idx="301">
                  <c:v>1400/10/28</c:v>
                </c:pt>
                <c:pt idx="302">
                  <c:v>1400/10/29</c:v>
                </c:pt>
                <c:pt idx="303">
                  <c:v>1400/11/02</c:v>
                </c:pt>
                <c:pt idx="304">
                  <c:v>1400/11/03</c:v>
                </c:pt>
                <c:pt idx="305">
                  <c:v>1400/11/04</c:v>
                </c:pt>
                <c:pt idx="306">
                  <c:v>1400/11/05</c:v>
                </c:pt>
                <c:pt idx="307">
                  <c:v>1400/11/06</c:v>
                </c:pt>
                <c:pt idx="308">
                  <c:v>1400/11/09</c:v>
                </c:pt>
                <c:pt idx="309">
                  <c:v>1400/11/10</c:v>
                </c:pt>
                <c:pt idx="310">
                  <c:v>1400/11/11</c:v>
                </c:pt>
                <c:pt idx="311">
                  <c:v>1400/11/12</c:v>
                </c:pt>
                <c:pt idx="312">
                  <c:v>1400/11/13</c:v>
                </c:pt>
                <c:pt idx="313">
                  <c:v>1400/11/16</c:v>
                </c:pt>
                <c:pt idx="314">
                  <c:v>1400/11/17</c:v>
                </c:pt>
                <c:pt idx="315">
                  <c:v>1400/11/18</c:v>
                </c:pt>
                <c:pt idx="316">
                  <c:v>1400/11/19</c:v>
                </c:pt>
                <c:pt idx="317">
                  <c:v>1400/11/20</c:v>
                </c:pt>
                <c:pt idx="318">
                  <c:v>1400/11/23</c:v>
                </c:pt>
                <c:pt idx="319">
                  <c:v>1400/11/24</c:v>
                </c:pt>
                <c:pt idx="320">
                  <c:v>1400/11/25</c:v>
                </c:pt>
                <c:pt idx="321">
                  <c:v>1400/11/27</c:v>
                </c:pt>
                <c:pt idx="322">
                  <c:v>1400/11/30</c:v>
                </c:pt>
                <c:pt idx="323">
                  <c:v>1400/12/01</c:v>
                </c:pt>
                <c:pt idx="324">
                  <c:v>1400/12/02</c:v>
                </c:pt>
                <c:pt idx="325">
                  <c:v>1400/12/03</c:v>
                </c:pt>
                <c:pt idx="326">
                  <c:v>1400/12/04</c:v>
                </c:pt>
                <c:pt idx="327">
                  <c:v>1400/12/07</c:v>
                </c:pt>
                <c:pt idx="328">
                  <c:v>1400/12/08</c:v>
                </c:pt>
                <c:pt idx="329">
                  <c:v>1400/12/09</c:v>
                </c:pt>
                <c:pt idx="330">
                  <c:v>1400/12/11</c:v>
                </c:pt>
                <c:pt idx="331">
                  <c:v>1400/12/14</c:v>
                </c:pt>
                <c:pt idx="332">
                  <c:v>1400/12/15</c:v>
                </c:pt>
                <c:pt idx="333">
                  <c:v>1400/12/16</c:v>
                </c:pt>
                <c:pt idx="334">
                  <c:v>1400/12/17</c:v>
                </c:pt>
                <c:pt idx="335">
                  <c:v>1400/12/18</c:v>
                </c:pt>
                <c:pt idx="336">
                  <c:v>1400/12/21</c:v>
                </c:pt>
                <c:pt idx="337">
                  <c:v>1400/12/22</c:v>
                </c:pt>
                <c:pt idx="338">
                  <c:v>1400/12/23</c:v>
                </c:pt>
                <c:pt idx="339">
                  <c:v>1400/12/24</c:v>
                </c:pt>
                <c:pt idx="340">
                  <c:v>1400/12/25</c:v>
                </c:pt>
                <c:pt idx="341">
                  <c:v>1400/12/28</c:v>
                </c:pt>
                <c:pt idx="342">
                  <c:v>1401/01/06</c:v>
                </c:pt>
                <c:pt idx="343">
                  <c:v>1401/01/07</c:v>
                </c:pt>
                <c:pt idx="344">
                  <c:v>1401/01/08</c:v>
                </c:pt>
                <c:pt idx="345">
                  <c:v>1401/01/09</c:v>
                </c:pt>
                <c:pt idx="346">
                  <c:v>1401/01/10</c:v>
                </c:pt>
                <c:pt idx="347">
                  <c:v>1401/01/14</c:v>
                </c:pt>
                <c:pt idx="348">
                  <c:v>1401/01/15</c:v>
                </c:pt>
                <c:pt idx="349">
                  <c:v>1401/01/16</c:v>
                </c:pt>
                <c:pt idx="350">
                  <c:v>1401/01/17</c:v>
                </c:pt>
                <c:pt idx="351">
                  <c:v>1401/01/20</c:v>
                </c:pt>
                <c:pt idx="352">
                  <c:v>1401/01/21</c:v>
                </c:pt>
                <c:pt idx="353">
                  <c:v>1401/01/22</c:v>
                </c:pt>
                <c:pt idx="354">
                  <c:v>1401/01/23</c:v>
                </c:pt>
                <c:pt idx="355">
                  <c:v>1401/01/24</c:v>
                </c:pt>
                <c:pt idx="356">
                  <c:v>1401/01/27</c:v>
                </c:pt>
                <c:pt idx="357">
                  <c:v>1401/01/28</c:v>
                </c:pt>
                <c:pt idx="358">
                  <c:v>1401/01/29</c:v>
                </c:pt>
                <c:pt idx="359">
                  <c:v>1401/01/30</c:v>
                </c:pt>
                <c:pt idx="360">
                  <c:v>1401/01/31</c:v>
                </c:pt>
                <c:pt idx="361">
                  <c:v>1401/02/04</c:v>
                </c:pt>
                <c:pt idx="362">
                  <c:v>1401/02/05</c:v>
                </c:pt>
                <c:pt idx="363">
                  <c:v>1401/02/06</c:v>
                </c:pt>
                <c:pt idx="364">
                  <c:v>1401/02/07</c:v>
                </c:pt>
                <c:pt idx="365">
                  <c:v>1401/02/10</c:v>
                </c:pt>
                <c:pt idx="366">
                  <c:v>1401/02/11</c:v>
                </c:pt>
                <c:pt idx="367">
                  <c:v>1401/02/12</c:v>
                </c:pt>
                <c:pt idx="368">
                  <c:v>1401/02/17</c:v>
                </c:pt>
                <c:pt idx="369">
                  <c:v>1401/02/18</c:v>
                </c:pt>
                <c:pt idx="370">
                  <c:v>1401/02/19</c:v>
                </c:pt>
                <c:pt idx="371">
                  <c:v>1401/02/20</c:v>
                </c:pt>
                <c:pt idx="372">
                  <c:v>1401/02/21</c:v>
                </c:pt>
                <c:pt idx="373">
                  <c:v>1401/02/24</c:v>
                </c:pt>
                <c:pt idx="374">
                  <c:v>1401/02/25</c:v>
                </c:pt>
                <c:pt idx="375">
                  <c:v>1401/02/26</c:v>
                </c:pt>
                <c:pt idx="376">
                  <c:v>1401/02/27</c:v>
                </c:pt>
                <c:pt idx="377">
                  <c:v>1401/02/28</c:v>
                </c:pt>
                <c:pt idx="378">
                  <c:v>1401/02/31</c:v>
                </c:pt>
                <c:pt idx="379">
                  <c:v>1401/03/01</c:v>
                </c:pt>
                <c:pt idx="380">
                  <c:v>1401/03/02</c:v>
                </c:pt>
                <c:pt idx="381">
                  <c:v>1401/03/03</c:v>
                </c:pt>
                <c:pt idx="382">
                  <c:v>1401/03/04</c:v>
                </c:pt>
                <c:pt idx="383">
                  <c:v>1401/03/07</c:v>
                </c:pt>
                <c:pt idx="384">
                  <c:v>1401/03/08</c:v>
                </c:pt>
                <c:pt idx="385">
                  <c:v>1401/03/09</c:v>
                </c:pt>
                <c:pt idx="386">
                  <c:v>1401/03/10</c:v>
                </c:pt>
                <c:pt idx="387">
                  <c:v>1401/03/11</c:v>
                </c:pt>
                <c:pt idx="388">
                  <c:v>1401/03/16</c:v>
                </c:pt>
                <c:pt idx="389">
                  <c:v>1401/03/17</c:v>
                </c:pt>
                <c:pt idx="390">
                  <c:v>1401/03/18</c:v>
                </c:pt>
                <c:pt idx="391">
                  <c:v>1401/03/21</c:v>
                </c:pt>
                <c:pt idx="392">
                  <c:v>1401/03/22</c:v>
                </c:pt>
                <c:pt idx="393">
                  <c:v>1401/03/23</c:v>
                </c:pt>
                <c:pt idx="394">
                  <c:v>1401/03/24</c:v>
                </c:pt>
                <c:pt idx="395">
                  <c:v>1401/03/25</c:v>
                </c:pt>
                <c:pt idx="396">
                  <c:v>1401/03/28</c:v>
                </c:pt>
                <c:pt idx="397">
                  <c:v>1401/03/29</c:v>
                </c:pt>
                <c:pt idx="398">
                  <c:v>1401/03/30</c:v>
                </c:pt>
                <c:pt idx="399">
                  <c:v>1401/03/31</c:v>
                </c:pt>
                <c:pt idx="400">
                  <c:v>1401/04/01</c:v>
                </c:pt>
                <c:pt idx="401">
                  <c:v>1401/04/04</c:v>
                </c:pt>
                <c:pt idx="402">
                  <c:v>1401/04/05</c:v>
                </c:pt>
                <c:pt idx="403">
                  <c:v>1401/04/06</c:v>
                </c:pt>
                <c:pt idx="404">
                  <c:v>1401/04/07</c:v>
                </c:pt>
                <c:pt idx="405">
                  <c:v>1401/04/08</c:v>
                </c:pt>
                <c:pt idx="406">
                  <c:v>1401/04/11</c:v>
                </c:pt>
                <c:pt idx="407">
                  <c:v>1401/04/12</c:v>
                </c:pt>
                <c:pt idx="408">
                  <c:v>1401/04/13</c:v>
                </c:pt>
                <c:pt idx="409">
                  <c:v>1401/04/14</c:v>
                </c:pt>
                <c:pt idx="410">
                  <c:v>1401/04/15</c:v>
                </c:pt>
                <c:pt idx="411">
                  <c:v>1401/04/18</c:v>
                </c:pt>
                <c:pt idx="412">
                  <c:v>1401/04/20</c:v>
                </c:pt>
                <c:pt idx="413">
                  <c:v>1401/04/21</c:v>
                </c:pt>
                <c:pt idx="414">
                  <c:v>1401/04/22</c:v>
                </c:pt>
                <c:pt idx="415">
                  <c:v>1401/04/25</c:v>
                </c:pt>
                <c:pt idx="416">
                  <c:v>1401/04/26</c:v>
                </c:pt>
                <c:pt idx="417">
                  <c:v>1401/05/01</c:v>
                </c:pt>
                <c:pt idx="418">
                  <c:v>1401/05/02</c:v>
                </c:pt>
                <c:pt idx="419">
                  <c:v>1401/05/03</c:v>
                </c:pt>
                <c:pt idx="420">
                  <c:v>1401/05/04</c:v>
                </c:pt>
                <c:pt idx="421">
                  <c:v>1401/05/05</c:v>
                </c:pt>
                <c:pt idx="422">
                  <c:v>1401/05/08</c:v>
                </c:pt>
                <c:pt idx="423">
                  <c:v>1401/05/09</c:v>
                </c:pt>
                <c:pt idx="424">
                  <c:v>1401/05/10</c:v>
                </c:pt>
                <c:pt idx="425">
                  <c:v>1401/05/11</c:v>
                </c:pt>
                <c:pt idx="426">
                  <c:v>1401/05/12</c:v>
                </c:pt>
                <c:pt idx="427">
                  <c:v>1401/05/15</c:v>
                </c:pt>
                <c:pt idx="428">
                  <c:v>1401/05/18</c:v>
                </c:pt>
                <c:pt idx="429">
                  <c:v>1401/05/19</c:v>
                </c:pt>
                <c:pt idx="430">
                  <c:v>1401/05/22</c:v>
                </c:pt>
                <c:pt idx="431">
                  <c:v>1401/05/23</c:v>
                </c:pt>
                <c:pt idx="432">
                  <c:v>1401/05/24</c:v>
                </c:pt>
                <c:pt idx="433">
                  <c:v>1401/05/25</c:v>
                </c:pt>
                <c:pt idx="434">
                  <c:v>1401/05/26</c:v>
                </c:pt>
                <c:pt idx="435">
                  <c:v>1401/05/29</c:v>
                </c:pt>
                <c:pt idx="436">
                  <c:v>1401/05/30</c:v>
                </c:pt>
                <c:pt idx="437">
                  <c:v>1401/05/31</c:v>
                </c:pt>
                <c:pt idx="438">
                  <c:v>1401/06/01</c:v>
                </c:pt>
                <c:pt idx="439">
                  <c:v>1401/06/02</c:v>
                </c:pt>
                <c:pt idx="440">
                  <c:v>1401/06/05</c:v>
                </c:pt>
                <c:pt idx="441">
                  <c:v>1401/06/06</c:v>
                </c:pt>
                <c:pt idx="442">
                  <c:v>1401/06/07</c:v>
                </c:pt>
                <c:pt idx="443">
                  <c:v>1401/06/08</c:v>
                </c:pt>
                <c:pt idx="444">
                  <c:v>1401/06/09</c:v>
                </c:pt>
                <c:pt idx="445">
                  <c:v>1401/06/12</c:v>
                </c:pt>
                <c:pt idx="446">
                  <c:v>1401/06/13</c:v>
                </c:pt>
                <c:pt idx="447">
                  <c:v>1401/06/14</c:v>
                </c:pt>
                <c:pt idx="448">
                  <c:v>1401/06/15</c:v>
                </c:pt>
                <c:pt idx="449">
                  <c:v>1401/06/16</c:v>
                </c:pt>
                <c:pt idx="450">
                  <c:v>1401/06/19</c:v>
                </c:pt>
                <c:pt idx="451">
                  <c:v>1401/06/20</c:v>
                </c:pt>
                <c:pt idx="452">
                  <c:v>1401/06/21</c:v>
                </c:pt>
                <c:pt idx="453">
                  <c:v>1401/06/22</c:v>
                </c:pt>
                <c:pt idx="454">
                  <c:v>1401/06/23</c:v>
                </c:pt>
                <c:pt idx="455">
                  <c:v>1401/06/27</c:v>
                </c:pt>
                <c:pt idx="456">
                  <c:v>1401/06/28</c:v>
                </c:pt>
                <c:pt idx="457">
                  <c:v>1401/06/29</c:v>
                </c:pt>
                <c:pt idx="458">
                  <c:v>1401/06/30</c:v>
                </c:pt>
                <c:pt idx="459">
                  <c:v>1401/07/02</c:v>
                </c:pt>
                <c:pt idx="460">
                  <c:v>1401/07/04</c:v>
                </c:pt>
                <c:pt idx="461">
                  <c:v>1401/07/06</c:v>
                </c:pt>
                <c:pt idx="462">
                  <c:v>1401/07/09</c:v>
                </c:pt>
                <c:pt idx="463">
                  <c:v>1401/07/10</c:v>
                </c:pt>
                <c:pt idx="464">
                  <c:v>1401/07/11</c:v>
                </c:pt>
                <c:pt idx="465">
                  <c:v>1401/07/12</c:v>
                </c:pt>
                <c:pt idx="466">
                  <c:v>1401/07/16</c:v>
                </c:pt>
                <c:pt idx="467">
                  <c:v>1401/07/17</c:v>
                </c:pt>
                <c:pt idx="468">
                  <c:v>1401/07/18</c:v>
                </c:pt>
                <c:pt idx="469">
                  <c:v>1401/07/19</c:v>
                </c:pt>
                <c:pt idx="470">
                  <c:v>1401/07/20</c:v>
                </c:pt>
                <c:pt idx="471">
                  <c:v>1401/07/23</c:v>
                </c:pt>
                <c:pt idx="472">
                  <c:v>1401/07/24</c:v>
                </c:pt>
                <c:pt idx="473">
                  <c:v>1401/07/25</c:v>
                </c:pt>
                <c:pt idx="474">
                  <c:v>1401/07/26</c:v>
                </c:pt>
                <c:pt idx="475">
                  <c:v>1401/07/27</c:v>
                </c:pt>
                <c:pt idx="476">
                  <c:v>1401/07/30</c:v>
                </c:pt>
                <c:pt idx="477">
                  <c:v>1401/08/01</c:v>
                </c:pt>
                <c:pt idx="478">
                  <c:v>1401/08/02</c:v>
                </c:pt>
                <c:pt idx="479">
                  <c:v>1401/08/03</c:v>
                </c:pt>
                <c:pt idx="480">
                  <c:v>1401/08/04</c:v>
                </c:pt>
                <c:pt idx="481">
                  <c:v>1401/08/07</c:v>
                </c:pt>
                <c:pt idx="482">
                  <c:v>1401/08/08</c:v>
                </c:pt>
                <c:pt idx="483">
                  <c:v>1401/08/09</c:v>
                </c:pt>
                <c:pt idx="484">
                  <c:v>1401/08/10</c:v>
                </c:pt>
                <c:pt idx="485">
                  <c:v>1401/08/11</c:v>
                </c:pt>
                <c:pt idx="486">
                  <c:v>1401/08/14</c:v>
                </c:pt>
                <c:pt idx="487">
                  <c:v>1401/08/15</c:v>
                </c:pt>
                <c:pt idx="488">
                  <c:v>1401/08/16</c:v>
                </c:pt>
                <c:pt idx="489">
                  <c:v>1401/08/17</c:v>
                </c:pt>
                <c:pt idx="490">
                  <c:v>1401/08/18</c:v>
                </c:pt>
                <c:pt idx="491">
                  <c:v>1401/08/21</c:v>
                </c:pt>
                <c:pt idx="492">
                  <c:v>1401/08/22</c:v>
                </c:pt>
                <c:pt idx="493">
                  <c:v>1401/08/23</c:v>
                </c:pt>
                <c:pt idx="494">
                  <c:v>1401/08/24</c:v>
                </c:pt>
                <c:pt idx="495">
                  <c:v>1401/08/25</c:v>
                </c:pt>
                <c:pt idx="496">
                  <c:v>1401/08/28</c:v>
                </c:pt>
                <c:pt idx="497">
                  <c:v>1401/08/29</c:v>
                </c:pt>
                <c:pt idx="498">
                  <c:v>1401/08/30</c:v>
                </c:pt>
                <c:pt idx="499">
                  <c:v>1401/09/01</c:v>
                </c:pt>
                <c:pt idx="500">
                  <c:v>1401/09/02</c:v>
                </c:pt>
                <c:pt idx="501">
                  <c:v>1401/09/05</c:v>
                </c:pt>
                <c:pt idx="502">
                  <c:v>1401/09/06</c:v>
                </c:pt>
                <c:pt idx="503">
                  <c:v>1401/09/07</c:v>
                </c:pt>
                <c:pt idx="504">
                  <c:v>1401/09/08</c:v>
                </c:pt>
                <c:pt idx="505">
                  <c:v>1401/09/09</c:v>
                </c:pt>
                <c:pt idx="506">
                  <c:v>1401/09/12</c:v>
                </c:pt>
                <c:pt idx="507">
                  <c:v>1401/09/13</c:v>
                </c:pt>
                <c:pt idx="508">
                  <c:v>1401/09/14</c:v>
                </c:pt>
                <c:pt idx="509">
                  <c:v>1401/09/15</c:v>
                </c:pt>
                <c:pt idx="510">
                  <c:v>1401/09/16</c:v>
                </c:pt>
                <c:pt idx="511">
                  <c:v>1401/09/19</c:v>
                </c:pt>
                <c:pt idx="512">
                  <c:v>1401/09/20</c:v>
                </c:pt>
                <c:pt idx="513">
                  <c:v>1401/09/21</c:v>
                </c:pt>
                <c:pt idx="514">
                  <c:v>1401/09/22</c:v>
                </c:pt>
                <c:pt idx="515">
                  <c:v>1401/09/23</c:v>
                </c:pt>
                <c:pt idx="516">
                  <c:v>1401/09/26</c:v>
                </c:pt>
                <c:pt idx="517">
                  <c:v>1401/09/27</c:v>
                </c:pt>
                <c:pt idx="518">
                  <c:v>1401/09/28</c:v>
                </c:pt>
                <c:pt idx="519">
                  <c:v>1401/09/29</c:v>
                </c:pt>
                <c:pt idx="520">
                  <c:v>1401/09/30</c:v>
                </c:pt>
                <c:pt idx="521">
                  <c:v>1401/10/03</c:v>
                </c:pt>
                <c:pt idx="522">
                  <c:v>1401/10/04</c:v>
                </c:pt>
                <c:pt idx="523">
                  <c:v>1401/10/05</c:v>
                </c:pt>
                <c:pt idx="524">
                  <c:v>1401/10/07</c:v>
                </c:pt>
                <c:pt idx="525">
                  <c:v>1401/10/10</c:v>
                </c:pt>
                <c:pt idx="526">
                  <c:v>1401/10/11</c:v>
                </c:pt>
                <c:pt idx="527">
                  <c:v>1401/10/12</c:v>
                </c:pt>
                <c:pt idx="528">
                  <c:v>1401/10/13</c:v>
                </c:pt>
                <c:pt idx="529">
                  <c:v>1401/10/14</c:v>
                </c:pt>
                <c:pt idx="530">
                  <c:v>1401/10/17</c:v>
                </c:pt>
                <c:pt idx="531">
                  <c:v>1401/10/18</c:v>
                </c:pt>
                <c:pt idx="532">
                  <c:v>1401/10/19</c:v>
                </c:pt>
                <c:pt idx="533">
                  <c:v>1401/10/20</c:v>
                </c:pt>
                <c:pt idx="534">
                  <c:v>1401/10/21</c:v>
                </c:pt>
                <c:pt idx="535">
                  <c:v>1401/10/24</c:v>
                </c:pt>
                <c:pt idx="536">
                  <c:v>1401/10/26</c:v>
                </c:pt>
                <c:pt idx="537">
                  <c:v>1401/10/27</c:v>
                </c:pt>
                <c:pt idx="538">
                  <c:v>1401/10/28</c:v>
                </c:pt>
                <c:pt idx="539">
                  <c:v>1401/11/01</c:v>
                </c:pt>
                <c:pt idx="540">
                  <c:v>1401/11/02</c:v>
                </c:pt>
                <c:pt idx="541">
                  <c:v>1401/11/03</c:v>
                </c:pt>
                <c:pt idx="542">
                  <c:v>1401/11/04</c:v>
                </c:pt>
                <c:pt idx="543">
                  <c:v>1401/11/05</c:v>
                </c:pt>
                <c:pt idx="544">
                  <c:v>1401/11/08</c:v>
                </c:pt>
                <c:pt idx="545">
                  <c:v>1401/11/09</c:v>
                </c:pt>
                <c:pt idx="546">
                  <c:v>1401/11/10</c:v>
                </c:pt>
                <c:pt idx="547">
                  <c:v>1401/11/11</c:v>
                </c:pt>
                <c:pt idx="548">
                  <c:v>1401/11/12</c:v>
                </c:pt>
                <c:pt idx="549">
                  <c:v>1401/11/16</c:v>
                </c:pt>
                <c:pt idx="550">
                  <c:v>1401/11/17</c:v>
                </c:pt>
                <c:pt idx="551">
                  <c:v>1401/11/18</c:v>
                </c:pt>
                <c:pt idx="552">
                  <c:v>1401/11/19</c:v>
                </c:pt>
                <c:pt idx="553">
                  <c:v>1401/11/23</c:v>
                </c:pt>
                <c:pt idx="554">
                  <c:v>1401/11/24</c:v>
                </c:pt>
                <c:pt idx="555">
                  <c:v>1401/11/25</c:v>
                </c:pt>
                <c:pt idx="556">
                  <c:v>1401/11/26</c:v>
                </c:pt>
                <c:pt idx="557">
                  <c:v>1401/11/30</c:v>
                </c:pt>
                <c:pt idx="558">
                  <c:v>1401/12/01</c:v>
                </c:pt>
                <c:pt idx="559">
                  <c:v>1401/12/02</c:v>
                </c:pt>
                <c:pt idx="560">
                  <c:v>1401/12/03</c:v>
                </c:pt>
                <c:pt idx="561">
                  <c:v>1401/12/06</c:v>
                </c:pt>
                <c:pt idx="562">
                  <c:v>1401/12/07</c:v>
                </c:pt>
                <c:pt idx="563">
                  <c:v>1401/12/08</c:v>
                </c:pt>
                <c:pt idx="564">
                  <c:v>1401/12/09</c:v>
                </c:pt>
                <c:pt idx="565">
                  <c:v>1401/12/10</c:v>
                </c:pt>
                <c:pt idx="566">
                  <c:v>1401/12/13</c:v>
                </c:pt>
                <c:pt idx="567">
                  <c:v>1401/12/14</c:v>
                </c:pt>
                <c:pt idx="568">
                  <c:v>1401/12/15</c:v>
                </c:pt>
                <c:pt idx="569">
                  <c:v>1401/12/16</c:v>
                </c:pt>
                <c:pt idx="570">
                  <c:v>1401/12/20</c:v>
                </c:pt>
                <c:pt idx="571">
                  <c:v>1401/12/21</c:v>
                </c:pt>
                <c:pt idx="572">
                  <c:v>1401/12/22</c:v>
                </c:pt>
                <c:pt idx="573">
                  <c:v>1401/12/23</c:v>
                </c:pt>
                <c:pt idx="574">
                  <c:v>1401/12/24</c:v>
                </c:pt>
                <c:pt idx="575">
                  <c:v>1401/12/27</c:v>
                </c:pt>
                <c:pt idx="576">
                  <c:v>1401/12/28</c:v>
                </c:pt>
                <c:pt idx="577">
                  <c:v>1402/01/05</c:v>
                </c:pt>
                <c:pt idx="578">
                  <c:v>1402/01/06</c:v>
                </c:pt>
                <c:pt idx="579">
                  <c:v>1402/01/07</c:v>
                </c:pt>
                <c:pt idx="580">
                  <c:v>1402/01/08</c:v>
                </c:pt>
                <c:pt idx="581">
                  <c:v>1402/01/09</c:v>
                </c:pt>
                <c:pt idx="582">
                  <c:v>1402/01/14</c:v>
                </c:pt>
                <c:pt idx="583">
                  <c:v>1402/01/15</c:v>
                </c:pt>
                <c:pt idx="584">
                  <c:v>1402/01/16</c:v>
                </c:pt>
                <c:pt idx="585">
                  <c:v>1402/01/19</c:v>
                </c:pt>
                <c:pt idx="586">
                  <c:v>1402/01/20</c:v>
                </c:pt>
                <c:pt idx="587">
                  <c:v>1402/01/21</c:v>
                </c:pt>
                <c:pt idx="588">
                  <c:v>1402/01/22</c:v>
                </c:pt>
                <c:pt idx="589">
                  <c:v>1402/01/26</c:v>
                </c:pt>
                <c:pt idx="590">
                  <c:v>1402/01/27</c:v>
                </c:pt>
                <c:pt idx="591">
                  <c:v>1402/01/28</c:v>
                </c:pt>
                <c:pt idx="592">
                  <c:v>1402/01/29</c:v>
                </c:pt>
                <c:pt idx="593">
                  <c:v>1402/01/30</c:v>
                </c:pt>
                <c:pt idx="594">
                  <c:v>1402/02/04</c:v>
                </c:pt>
                <c:pt idx="595">
                  <c:v>1402/02/05</c:v>
                </c:pt>
                <c:pt idx="596">
                  <c:v>1402/02/06</c:v>
                </c:pt>
                <c:pt idx="597">
                  <c:v>1402/02/09</c:v>
                </c:pt>
                <c:pt idx="598">
                  <c:v>1402/02/10</c:v>
                </c:pt>
                <c:pt idx="599">
                  <c:v>1402/02/11</c:v>
                </c:pt>
                <c:pt idx="600">
                  <c:v>1402/02/12</c:v>
                </c:pt>
                <c:pt idx="601">
                  <c:v>1402/02/13</c:v>
                </c:pt>
                <c:pt idx="602">
                  <c:v>1402/02/16</c:v>
                </c:pt>
                <c:pt idx="603">
                  <c:v>1402/02/17</c:v>
                </c:pt>
                <c:pt idx="604">
                  <c:v>1402/02/18</c:v>
                </c:pt>
                <c:pt idx="605">
                  <c:v>1402/02/19</c:v>
                </c:pt>
                <c:pt idx="606">
                  <c:v>1402/02/20</c:v>
                </c:pt>
                <c:pt idx="607">
                  <c:v>1402/02/23</c:v>
                </c:pt>
                <c:pt idx="608">
                  <c:v>1402/02/24</c:v>
                </c:pt>
                <c:pt idx="609">
                  <c:v>1402/02/25</c:v>
                </c:pt>
                <c:pt idx="610">
                  <c:v>1402/02/27</c:v>
                </c:pt>
                <c:pt idx="611">
                  <c:v>1402/02/30</c:v>
                </c:pt>
                <c:pt idx="612">
                  <c:v>1402/02/31</c:v>
                </c:pt>
                <c:pt idx="613">
                  <c:v>1402/03/01</c:v>
                </c:pt>
                <c:pt idx="614">
                  <c:v>1402/03/02</c:v>
                </c:pt>
                <c:pt idx="615">
                  <c:v>1402/03/03</c:v>
                </c:pt>
                <c:pt idx="616">
                  <c:v>1402/03/06</c:v>
                </c:pt>
                <c:pt idx="617">
                  <c:v>1402/03/07</c:v>
                </c:pt>
                <c:pt idx="618">
                  <c:v>1402/03/08</c:v>
                </c:pt>
                <c:pt idx="619">
                  <c:v>1402/03/09</c:v>
                </c:pt>
                <c:pt idx="620">
                  <c:v>1402/03/10</c:v>
                </c:pt>
                <c:pt idx="621">
                  <c:v>1402/03/13</c:v>
                </c:pt>
                <c:pt idx="622">
                  <c:v>1402/03/16</c:v>
                </c:pt>
                <c:pt idx="623">
                  <c:v>1402/03/17</c:v>
                </c:pt>
                <c:pt idx="624">
                  <c:v>1402/03/20</c:v>
                </c:pt>
                <c:pt idx="625">
                  <c:v>1402/03/21</c:v>
                </c:pt>
                <c:pt idx="626">
                  <c:v>1402/03/22</c:v>
                </c:pt>
                <c:pt idx="627">
                  <c:v>1402/03/23</c:v>
                </c:pt>
                <c:pt idx="628">
                  <c:v>1402/03/24</c:v>
                </c:pt>
                <c:pt idx="629">
                  <c:v>1402/03/27</c:v>
                </c:pt>
                <c:pt idx="630">
                  <c:v>1402/03/28</c:v>
                </c:pt>
                <c:pt idx="631">
                  <c:v>1402/03/29</c:v>
                </c:pt>
                <c:pt idx="632">
                  <c:v>1402/03/30</c:v>
                </c:pt>
                <c:pt idx="633">
                  <c:v>1402/03/31</c:v>
                </c:pt>
                <c:pt idx="634">
                  <c:v>1402/04/03</c:v>
                </c:pt>
                <c:pt idx="635">
                  <c:v>1402/04/04</c:v>
                </c:pt>
                <c:pt idx="636">
                  <c:v>1402/04/05</c:v>
                </c:pt>
                <c:pt idx="637">
                  <c:v>1402/04/06</c:v>
                </c:pt>
                <c:pt idx="638">
                  <c:v>1402/04/07</c:v>
                </c:pt>
                <c:pt idx="639">
                  <c:v>1402/04/10</c:v>
                </c:pt>
                <c:pt idx="640">
                  <c:v>1402/04/11</c:v>
                </c:pt>
                <c:pt idx="641">
                  <c:v>1402/04/12</c:v>
                </c:pt>
                <c:pt idx="642">
                  <c:v>1402/04/13</c:v>
                </c:pt>
                <c:pt idx="643">
                  <c:v>1402/04/14</c:v>
                </c:pt>
                <c:pt idx="644">
                  <c:v>1402/04/17</c:v>
                </c:pt>
                <c:pt idx="645">
                  <c:v>1402/04/18</c:v>
                </c:pt>
                <c:pt idx="646">
                  <c:v>1402/04/19</c:v>
                </c:pt>
                <c:pt idx="647">
                  <c:v>1402/04/20</c:v>
                </c:pt>
                <c:pt idx="648">
                  <c:v>1402/04/21</c:v>
                </c:pt>
                <c:pt idx="649">
                  <c:v>1402/04/24</c:v>
                </c:pt>
                <c:pt idx="650">
                  <c:v>1402/04/25</c:v>
                </c:pt>
                <c:pt idx="651">
                  <c:v>1402/04/26</c:v>
                </c:pt>
                <c:pt idx="652">
                  <c:v>1402/04/27</c:v>
                </c:pt>
                <c:pt idx="653">
                  <c:v>1402/04/28</c:v>
                </c:pt>
                <c:pt idx="654">
                  <c:v>1402/04/31</c:v>
                </c:pt>
                <c:pt idx="655">
                  <c:v>1402/05/01</c:v>
                </c:pt>
                <c:pt idx="656">
                  <c:v>1402/05/02</c:v>
                </c:pt>
                <c:pt idx="657">
                  <c:v>1402/05/03</c:v>
                </c:pt>
                <c:pt idx="658">
                  <c:v>1402/05/04</c:v>
                </c:pt>
                <c:pt idx="659">
                  <c:v>1402/05/07</c:v>
                </c:pt>
                <c:pt idx="660">
                  <c:v>1402/05/08</c:v>
                </c:pt>
                <c:pt idx="661">
                  <c:v>1402/05/09</c:v>
                </c:pt>
                <c:pt idx="662">
                  <c:v>1402/05/10</c:v>
                </c:pt>
                <c:pt idx="663">
                  <c:v>1402/05/14</c:v>
                </c:pt>
                <c:pt idx="664">
                  <c:v>1402/05/15</c:v>
                </c:pt>
                <c:pt idx="665">
                  <c:v>1402/05/16</c:v>
                </c:pt>
                <c:pt idx="666">
                  <c:v>1402/05/17</c:v>
                </c:pt>
                <c:pt idx="667">
                  <c:v>1402/05/18</c:v>
                </c:pt>
                <c:pt idx="668">
                  <c:v>1402/05/21</c:v>
                </c:pt>
                <c:pt idx="669">
                  <c:v>1402/05/22</c:v>
                </c:pt>
                <c:pt idx="670">
                  <c:v>1402/05/23</c:v>
                </c:pt>
                <c:pt idx="671">
                  <c:v>1402/05/24</c:v>
                </c:pt>
                <c:pt idx="672">
                  <c:v>1402/05/25</c:v>
                </c:pt>
                <c:pt idx="673">
                  <c:v>1402/05/28</c:v>
                </c:pt>
                <c:pt idx="674">
                  <c:v>1402/05/29</c:v>
                </c:pt>
                <c:pt idx="675">
                  <c:v>1402/05/30</c:v>
                </c:pt>
                <c:pt idx="676">
                  <c:v>1402/05/31</c:v>
                </c:pt>
                <c:pt idx="677">
                  <c:v>1402/06/01</c:v>
                </c:pt>
                <c:pt idx="678">
                  <c:v>1402/06/04</c:v>
                </c:pt>
                <c:pt idx="679">
                  <c:v>1402/06/05</c:v>
                </c:pt>
                <c:pt idx="680">
                  <c:v>1402/06/06</c:v>
                </c:pt>
                <c:pt idx="681">
                  <c:v>1402/06/07</c:v>
                </c:pt>
                <c:pt idx="682">
                  <c:v>1402/06/08</c:v>
                </c:pt>
                <c:pt idx="683">
                  <c:v>1402/06/11</c:v>
                </c:pt>
                <c:pt idx="684">
                  <c:v>1402/06/12</c:v>
                </c:pt>
                <c:pt idx="685">
                  <c:v>1402/06/13</c:v>
                </c:pt>
                <c:pt idx="686">
                  <c:v>1402/06/14</c:v>
                </c:pt>
                <c:pt idx="687">
                  <c:v>1402/06/18</c:v>
                </c:pt>
                <c:pt idx="688">
                  <c:v>1402/06/19</c:v>
                </c:pt>
                <c:pt idx="689">
                  <c:v>1402/06/20</c:v>
                </c:pt>
                <c:pt idx="690">
                  <c:v>1402/06/21</c:v>
                </c:pt>
                <c:pt idx="691">
                  <c:v>1402/06/22</c:v>
                </c:pt>
                <c:pt idx="692">
                  <c:v>1402/06/26</c:v>
                </c:pt>
                <c:pt idx="693">
                  <c:v>1402/06/27</c:v>
                </c:pt>
                <c:pt idx="694">
                  <c:v>1402/06/28</c:v>
                </c:pt>
                <c:pt idx="695">
                  <c:v>1402/06/29</c:v>
                </c:pt>
                <c:pt idx="696">
                  <c:v>1402/07/01</c:v>
                </c:pt>
                <c:pt idx="697">
                  <c:v>1402/07/03</c:v>
                </c:pt>
                <c:pt idx="698">
                  <c:v>1402/07/04</c:v>
                </c:pt>
                <c:pt idx="699">
                  <c:v>1402/07/05</c:v>
                </c:pt>
                <c:pt idx="700">
                  <c:v>1402/07/08</c:v>
                </c:pt>
                <c:pt idx="701">
                  <c:v>1402/07/09</c:v>
                </c:pt>
                <c:pt idx="702">
                  <c:v>1402/07/10</c:v>
                </c:pt>
                <c:pt idx="703">
                  <c:v>1402/07/12</c:v>
                </c:pt>
                <c:pt idx="704">
                  <c:v>1402/07/15</c:v>
                </c:pt>
                <c:pt idx="705">
                  <c:v>1402/07/16</c:v>
                </c:pt>
                <c:pt idx="706">
                  <c:v>1402/07/17</c:v>
                </c:pt>
                <c:pt idx="707">
                  <c:v>1402/07/18</c:v>
                </c:pt>
                <c:pt idx="708">
                  <c:v>1402/07/19</c:v>
                </c:pt>
                <c:pt idx="709">
                  <c:v>1402/07/22</c:v>
                </c:pt>
                <c:pt idx="710">
                  <c:v>1402/07/23</c:v>
                </c:pt>
                <c:pt idx="711">
                  <c:v>1402/07/24</c:v>
                </c:pt>
                <c:pt idx="712">
                  <c:v>1402/07/25</c:v>
                </c:pt>
                <c:pt idx="713">
                  <c:v>1402/07/26</c:v>
                </c:pt>
                <c:pt idx="714">
                  <c:v>1402/07/29</c:v>
                </c:pt>
                <c:pt idx="715">
                  <c:v>1402/07/30</c:v>
                </c:pt>
                <c:pt idx="716">
                  <c:v>1402/08/01</c:v>
                </c:pt>
                <c:pt idx="717">
                  <c:v>1402/08/02</c:v>
                </c:pt>
                <c:pt idx="718">
                  <c:v>1402/08/03</c:v>
                </c:pt>
                <c:pt idx="719">
                  <c:v>1402/08/06</c:v>
                </c:pt>
                <c:pt idx="720">
                  <c:v>1402/08/07</c:v>
                </c:pt>
                <c:pt idx="721">
                  <c:v>1402/08/08</c:v>
                </c:pt>
                <c:pt idx="722">
                  <c:v>1402/08/09</c:v>
                </c:pt>
                <c:pt idx="723">
                  <c:v>1402/08/10</c:v>
                </c:pt>
                <c:pt idx="724">
                  <c:v>1402/08/13</c:v>
                </c:pt>
                <c:pt idx="725">
                  <c:v>1402/08/14</c:v>
                </c:pt>
                <c:pt idx="726">
                  <c:v>1402/08/15</c:v>
                </c:pt>
                <c:pt idx="727">
                  <c:v>1402/08/16</c:v>
                </c:pt>
                <c:pt idx="728">
                  <c:v>1402/08/17</c:v>
                </c:pt>
                <c:pt idx="729">
                  <c:v>1402/08/20</c:v>
                </c:pt>
                <c:pt idx="730">
                  <c:v>1402/08/21</c:v>
                </c:pt>
                <c:pt idx="731">
                  <c:v>1402/08/22</c:v>
                </c:pt>
                <c:pt idx="732">
                  <c:v>1402/08/23</c:v>
                </c:pt>
                <c:pt idx="733">
                  <c:v>1402/08/24</c:v>
                </c:pt>
                <c:pt idx="734">
                  <c:v>1402/08/27</c:v>
                </c:pt>
                <c:pt idx="735">
                  <c:v>1402/08/28</c:v>
                </c:pt>
                <c:pt idx="736">
                  <c:v>1402/08/29</c:v>
                </c:pt>
                <c:pt idx="737">
                  <c:v>1402/08/30</c:v>
                </c:pt>
                <c:pt idx="738">
                  <c:v>1402/09/01</c:v>
                </c:pt>
                <c:pt idx="739">
                  <c:v>1402/09/04</c:v>
                </c:pt>
                <c:pt idx="740">
                  <c:v>1402/09/05</c:v>
                </c:pt>
                <c:pt idx="741">
                  <c:v>1402/09/06</c:v>
                </c:pt>
                <c:pt idx="742">
                  <c:v>1402/09/07</c:v>
                </c:pt>
                <c:pt idx="743">
                  <c:v>1402/09/08</c:v>
                </c:pt>
                <c:pt idx="744">
                  <c:v>1402/09/11</c:v>
                </c:pt>
                <c:pt idx="745">
                  <c:v>1402/09/12</c:v>
                </c:pt>
                <c:pt idx="746">
                  <c:v>1402/09/13</c:v>
                </c:pt>
                <c:pt idx="747">
                  <c:v>1402/09/14</c:v>
                </c:pt>
                <c:pt idx="748">
                  <c:v>1402/09/15</c:v>
                </c:pt>
                <c:pt idx="749">
                  <c:v>1402/09/18</c:v>
                </c:pt>
                <c:pt idx="750">
                  <c:v>1402/09/19</c:v>
                </c:pt>
                <c:pt idx="751">
                  <c:v>1402/09/20</c:v>
                </c:pt>
                <c:pt idx="752">
                  <c:v>1402/09/21</c:v>
                </c:pt>
                <c:pt idx="753">
                  <c:v>1402/09/22</c:v>
                </c:pt>
                <c:pt idx="754">
                  <c:v>1402/09/25</c:v>
                </c:pt>
                <c:pt idx="755">
                  <c:v>1402/09/27</c:v>
                </c:pt>
                <c:pt idx="756">
                  <c:v>1402/09/28</c:v>
                </c:pt>
                <c:pt idx="757">
                  <c:v>1402/09/29</c:v>
                </c:pt>
                <c:pt idx="758">
                  <c:v>1402/10/02</c:v>
                </c:pt>
                <c:pt idx="759">
                  <c:v>1402/10/03</c:v>
                </c:pt>
                <c:pt idx="760">
                  <c:v>1402/10/04</c:v>
                </c:pt>
                <c:pt idx="761">
                  <c:v>1402/10/05</c:v>
                </c:pt>
                <c:pt idx="762">
                  <c:v>1402/10/06</c:v>
                </c:pt>
                <c:pt idx="763">
                  <c:v>1402/10/09</c:v>
                </c:pt>
                <c:pt idx="764">
                  <c:v>1402/10/10</c:v>
                </c:pt>
                <c:pt idx="765">
                  <c:v>1402/10/11</c:v>
                </c:pt>
                <c:pt idx="766">
                  <c:v>1402/10/12</c:v>
                </c:pt>
                <c:pt idx="767">
                  <c:v>1402/10/13</c:v>
                </c:pt>
                <c:pt idx="768">
                  <c:v>1402/10/16</c:v>
                </c:pt>
                <c:pt idx="769">
                  <c:v>1402/10/17</c:v>
                </c:pt>
                <c:pt idx="770">
                  <c:v>1402/10/18</c:v>
                </c:pt>
                <c:pt idx="771">
                  <c:v>1402/10/19</c:v>
                </c:pt>
                <c:pt idx="772">
                  <c:v>1402/10/20</c:v>
                </c:pt>
                <c:pt idx="773">
                  <c:v>1402/10/23</c:v>
                </c:pt>
                <c:pt idx="774">
                  <c:v>1402/10/24</c:v>
                </c:pt>
                <c:pt idx="775">
                  <c:v>1402/10/25</c:v>
                </c:pt>
                <c:pt idx="776">
                  <c:v>1402/10/26</c:v>
                </c:pt>
                <c:pt idx="777">
                  <c:v>1402/10/27</c:v>
                </c:pt>
                <c:pt idx="778">
                  <c:v>1402/10/30</c:v>
                </c:pt>
                <c:pt idx="779">
                  <c:v>1402/11/01</c:v>
                </c:pt>
                <c:pt idx="780">
                  <c:v>1402/11/02</c:v>
                </c:pt>
                <c:pt idx="781">
                  <c:v>1402/11/03</c:v>
                </c:pt>
                <c:pt idx="782">
                  <c:v>1402/11/04</c:v>
                </c:pt>
                <c:pt idx="783">
                  <c:v>1402/11/07</c:v>
                </c:pt>
                <c:pt idx="784">
                  <c:v>1402/11/08</c:v>
                </c:pt>
                <c:pt idx="785">
                  <c:v>1402/11/09</c:v>
                </c:pt>
                <c:pt idx="786">
                  <c:v>1402/11/10</c:v>
                </c:pt>
                <c:pt idx="787">
                  <c:v>1402/11/11</c:v>
                </c:pt>
                <c:pt idx="788">
                  <c:v>1402/11/14</c:v>
                </c:pt>
                <c:pt idx="789">
                  <c:v>1402/11/15</c:v>
                </c:pt>
                <c:pt idx="790">
                  <c:v>1402/11/16</c:v>
                </c:pt>
                <c:pt idx="791">
                  <c:v>1402/11/17</c:v>
                </c:pt>
                <c:pt idx="792">
                  <c:v>1402/11/18</c:v>
                </c:pt>
                <c:pt idx="793">
                  <c:v>1402/11/21</c:v>
                </c:pt>
                <c:pt idx="794">
                  <c:v>1402/11/23</c:v>
                </c:pt>
                <c:pt idx="795">
                  <c:v>1402/11/24</c:v>
                </c:pt>
                <c:pt idx="796">
                  <c:v>1402/11/25</c:v>
                </c:pt>
                <c:pt idx="797">
                  <c:v>1402/11/28</c:v>
                </c:pt>
                <c:pt idx="798">
                  <c:v>1402/11/29</c:v>
                </c:pt>
                <c:pt idx="799">
                  <c:v>1402/11/30</c:v>
                </c:pt>
                <c:pt idx="800">
                  <c:v>1402/12/01</c:v>
                </c:pt>
                <c:pt idx="801">
                  <c:v>1402/12/02</c:v>
                </c:pt>
                <c:pt idx="802">
                  <c:v>1402/12/05</c:v>
                </c:pt>
                <c:pt idx="803">
                  <c:v>1402/12/07</c:v>
                </c:pt>
                <c:pt idx="804">
                  <c:v>1402/12/08</c:v>
                </c:pt>
                <c:pt idx="805">
                  <c:v>1402/12/09</c:v>
                </c:pt>
                <c:pt idx="806">
                  <c:v>1402/12/12</c:v>
                </c:pt>
                <c:pt idx="807">
                  <c:v>1402/12/13</c:v>
                </c:pt>
                <c:pt idx="808">
                  <c:v>1402/12/14</c:v>
                </c:pt>
                <c:pt idx="809">
                  <c:v>1402/12/15</c:v>
                </c:pt>
                <c:pt idx="810">
                  <c:v>1402/12/16</c:v>
                </c:pt>
                <c:pt idx="811">
                  <c:v>1402/12/19</c:v>
                </c:pt>
                <c:pt idx="812">
                  <c:v>1402/12/20</c:v>
                </c:pt>
                <c:pt idx="813">
                  <c:v>1402/12/21</c:v>
                </c:pt>
                <c:pt idx="814">
                  <c:v>1402/12/22</c:v>
                </c:pt>
                <c:pt idx="815">
                  <c:v>1402/12/23</c:v>
                </c:pt>
                <c:pt idx="816">
                  <c:v>1402/12/26</c:v>
                </c:pt>
                <c:pt idx="817">
                  <c:v>1402/12/27</c:v>
                </c:pt>
                <c:pt idx="818">
                  <c:v>1402/12/28</c:v>
                </c:pt>
                <c:pt idx="819">
                  <c:v>1403/01/05</c:v>
                </c:pt>
                <c:pt idx="820">
                  <c:v>1403/01/06</c:v>
                </c:pt>
                <c:pt idx="821">
                  <c:v>1403/01/07</c:v>
                </c:pt>
                <c:pt idx="822">
                  <c:v>1403/01/08</c:v>
                </c:pt>
                <c:pt idx="823">
                  <c:v>1403/01/11</c:v>
                </c:pt>
                <c:pt idx="824">
                  <c:v>1403/01/14</c:v>
                </c:pt>
                <c:pt idx="825">
                  <c:v>1403/01/15</c:v>
                </c:pt>
                <c:pt idx="826">
                  <c:v>1403/01/18</c:v>
                </c:pt>
                <c:pt idx="827">
                  <c:v>1403/01/19</c:v>
                </c:pt>
                <c:pt idx="828">
                  <c:v>1403/01/20</c:v>
                </c:pt>
                <c:pt idx="829">
                  <c:v>1403/01/21</c:v>
                </c:pt>
                <c:pt idx="830">
                  <c:v>1403/01/25</c:v>
                </c:pt>
                <c:pt idx="831">
                  <c:v>1403/01/26</c:v>
                </c:pt>
                <c:pt idx="832">
                  <c:v>1403/01/27</c:v>
                </c:pt>
                <c:pt idx="833">
                  <c:v>1403/01/28</c:v>
                </c:pt>
                <c:pt idx="834">
                  <c:v>1403/01/29</c:v>
                </c:pt>
                <c:pt idx="835">
                  <c:v>1403/02/01</c:v>
                </c:pt>
                <c:pt idx="836">
                  <c:v>1403/02/02</c:v>
                </c:pt>
                <c:pt idx="837">
                  <c:v>1403/02/03</c:v>
                </c:pt>
                <c:pt idx="838">
                  <c:v>1403/02/04</c:v>
                </c:pt>
                <c:pt idx="839">
                  <c:v>1403/02/05</c:v>
                </c:pt>
                <c:pt idx="840">
                  <c:v>1403/02/08</c:v>
                </c:pt>
                <c:pt idx="841">
                  <c:v>1403/02/09</c:v>
                </c:pt>
                <c:pt idx="842">
                  <c:v>1403/02/10</c:v>
                </c:pt>
                <c:pt idx="843">
                  <c:v>1403/02/11</c:v>
                </c:pt>
                <c:pt idx="844">
                  <c:v>1403/02/12</c:v>
                </c:pt>
                <c:pt idx="845">
                  <c:v>1403/02/16</c:v>
                </c:pt>
                <c:pt idx="846">
                  <c:v>1403/02/17</c:v>
                </c:pt>
                <c:pt idx="847">
                  <c:v>1403/02/18</c:v>
                </c:pt>
                <c:pt idx="848">
                  <c:v>1403/02/19</c:v>
                </c:pt>
                <c:pt idx="849">
                  <c:v>1403/02/22</c:v>
                </c:pt>
                <c:pt idx="850">
                  <c:v>1403/02/23</c:v>
                </c:pt>
                <c:pt idx="851">
                  <c:v>1403/02/24</c:v>
                </c:pt>
                <c:pt idx="852">
                  <c:v>1403/02/25</c:v>
                </c:pt>
                <c:pt idx="853">
                  <c:v>1403/02/26</c:v>
                </c:pt>
                <c:pt idx="854">
                  <c:v>1403/02/29</c:v>
                </c:pt>
                <c:pt idx="855">
                  <c:v>1403/02/30</c:v>
                </c:pt>
                <c:pt idx="856">
                  <c:v>1403/03/01</c:v>
                </c:pt>
                <c:pt idx="857">
                  <c:v>1403/03/05</c:v>
                </c:pt>
                <c:pt idx="858">
                  <c:v>1403/03/06</c:v>
                </c:pt>
                <c:pt idx="859">
                  <c:v>1403/03/07</c:v>
                </c:pt>
                <c:pt idx="860">
                  <c:v>1403/03/08</c:v>
                </c:pt>
                <c:pt idx="861">
                  <c:v>1403/03/09</c:v>
                </c:pt>
                <c:pt idx="862">
                  <c:v>1403/03/12</c:v>
                </c:pt>
                <c:pt idx="863">
                  <c:v>1403/03/13</c:v>
                </c:pt>
                <c:pt idx="864">
                  <c:v>1403/03/16</c:v>
                </c:pt>
                <c:pt idx="865">
                  <c:v>1403/03/19</c:v>
                </c:pt>
                <c:pt idx="866">
                  <c:v>1403/03/20</c:v>
                </c:pt>
                <c:pt idx="867">
                  <c:v>1403/03/21</c:v>
                </c:pt>
                <c:pt idx="868">
                  <c:v>1403/03/22</c:v>
                </c:pt>
                <c:pt idx="869">
                  <c:v>1403/03/23</c:v>
                </c:pt>
                <c:pt idx="870">
                  <c:v>1403/03/26</c:v>
                </c:pt>
                <c:pt idx="871">
                  <c:v>1403/03/27</c:v>
                </c:pt>
                <c:pt idx="872">
                  <c:v>1403/03/29</c:v>
                </c:pt>
                <c:pt idx="873">
                  <c:v>1403/03/30</c:v>
                </c:pt>
                <c:pt idx="874">
                  <c:v>1403/04/02</c:v>
                </c:pt>
                <c:pt idx="875">
                  <c:v>1403/04/03</c:v>
                </c:pt>
                <c:pt idx="876">
                  <c:v>1403/04/04</c:v>
                </c:pt>
                <c:pt idx="877">
                  <c:v>1403/04/06</c:v>
                </c:pt>
                <c:pt idx="878">
                  <c:v>1403/04/09</c:v>
                </c:pt>
                <c:pt idx="879">
                  <c:v>1403/04/10</c:v>
                </c:pt>
                <c:pt idx="880">
                  <c:v>1403/04/11</c:v>
                </c:pt>
                <c:pt idx="881">
                  <c:v>1403/04/12</c:v>
                </c:pt>
                <c:pt idx="882">
                  <c:v>1403/04/13</c:v>
                </c:pt>
                <c:pt idx="883">
                  <c:v>1403/04/16</c:v>
                </c:pt>
                <c:pt idx="884">
                  <c:v>1403/04/17</c:v>
                </c:pt>
                <c:pt idx="885">
                  <c:v>1403/04/18</c:v>
                </c:pt>
                <c:pt idx="886">
                  <c:v>1403/04/19</c:v>
                </c:pt>
                <c:pt idx="887">
                  <c:v>1403/04/20</c:v>
                </c:pt>
                <c:pt idx="888">
                  <c:v>1403/04/23</c:v>
                </c:pt>
                <c:pt idx="889">
                  <c:v>1403/04/24</c:v>
                </c:pt>
                <c:pt idx="890">
                  <c:v>1403/04/27</c:v>
                </c:pt>
                <c:pt idx="891">
                  <c:v>1403/04/30</c:v>
                </c:pt>
                <c:pt idx="892">
                  <c:v>1403/04/31</c:v>
                </c:pt>
                <c:pt idx="893">
                  <c:v>1403/05/01</c:v>
                </c:pt>
                <c:pt idx="894">
                  <c:v>1403/07/08</c:v>
                </c:pt>
                <c:pt idx="895">
                  <c:v>1403/07/09</c:v>
                </c:pt>
                <c:pt idx="896">
                  <c:v>1403/07/10</c:v>
                </c:pt>
                <c:pt idx="897">
                  <c:v>1403/07/11</c:v>
                </c:pt>
                <c:pt idx="898">
                  <c:v>1403/07/14</c:v>
                </c:pt>
                <c:pt idx="899">
                  <c:v>1403/07/15</c:v>
                </c:pt>
                <c:pt idx="900">
                  <c:v>1403/07/16</c:v>
                </c:pt>
                <c:pt idx="901">
                  <c:v>1403/07/17</c:v>
                </c:pt>
                <c:pt idx="902">
                  <c:v>1403/07/18</c:v>
                </c:pt>
                <c:pt idx="903">
                  <c:v>1403/07/21</c:v>
                </c:pt>
                <c:pt idx="904">
                  <c:v>1403/07/22</c:v>
                </c:pt>
                <c:pt idx="905">
                  <c:v>1403/07/23</c:v>
                </c:pt>
                <c:pt idx="906">
                  <c:v>1403/07/24</c:v>
                </c:pt>
                <c:pt idx="907">
                  <c:v>1403/07/25</c:v>
                </c:pt>
                <c:pt idx="908">
                  <c:v>1403/08/14</c:v>
                </c:pt>
                <c:pt idx="909">
                  <c:v>1403/08/15</c:v>
                </c:pt>
                <c:pt idx="910">
                  <c:v>1403/08/23</c:v>
                </c:pt>
                <c:pt idx="911">
                  <c:v>1403/08/26</c:v>
                </c:pt>
                <c:pt idx="912">
                  <c:v>1403/08/27</c:v>
                </c:pt>
                <c:pt idx="913">
                  <c:v>1403/08/28</c:v>
                </c:pt>
                <c:pt idx="914">
                  <c:v>1403/09/03</c:v>
                </c:pt>
                <c:pt idx="915">
                  <c:v>1403/09/07</c:v>
                </c:pt>
                <c:pt idx="916">
                  <c:v>1403/09/10</c:v>
                </c:pt>
                <c:pt idx="917">
                  <c:v>1403/09/11</c:v>
                </c:pt>
                <c:pt idx="918">
                  <c:v>1403/09/12</c:v>
                </c:pt>
                <c:pt idx="919">
                  <c:v>1403/09/13</c:v>
                </c:pt>
                <c:pt idx="920">
                  <c:v>1403/09/14</c:v>
                </c:pt>
                <c:pt idx="921">
                  <c:v>1403/09/19</c:v>
                </c:pt>
                <c:pt idx="922">
                  <c:v>1403/09/20</c:v>
                </c:pt>
                <c:pt idx="923">
                  <c:v>1403/09/21</c:v>
                </c:pt>
                <c:pt idx="924">
                  <c:v>1403/09/24</c:v>
                </c:pt>
                <c:pt idx="925">
                  <c:v>1403/09/25</c:v>
                </c:pt>
                <c:pt idx="926">
                  <c:v>1403/09/26</c:v>
                </c:pt>
                <c:pt idx="927">
                  <c:v>1403/09/27</c:v>
                </c:pt>
                <c:pt idx="928">
                  <c:v>1403/09/28</c:v>
                </c:pt>
                <c:pt idx="929">
                  <c:v>1403/10/01</c:v>
                </c:pt>
                <c:pt idx="930">
                  <c:v>1403/10/02</c:v>
                </c:pt>
                <c:pt idx="931">
                  <c:v>1403/10/03</c:v>
                </c:pt>
                <c:pt idx="932">
                  <c:v>1403/10/04</c:v>
                </c:pt>
                <c:pt idx="933">
                  <c:v>1403/10/05</c:v>
                </c:pt>
                <c:pt idx="934">
                  <c:v>1403/10/08</c:v>
                </c:pt>
                <c:pt idx="935">
                  <c:v>1403/10/11</c:v>
                </c:pt>
                <c:pt idx="936">
                  <c:v>1403/10/12</c:v>
                </c:pt>
                <c:pt idx="937">
                  <c:v>1403/10/15</c:v>
                </c:pt>
                <c:pt idx="938">
                  <c:v>1403/10/16</c:v>
                </c:pt>
                <c:pt idx="939">
                  <c:v>1403/10/17</c:v>
                </c:pt>
                <c:pt idx="940">
                  <c:v>1403/10/18</c:v>
                </c:pt>
                <c:pt idx="941">
                  <c:v>1403/10/19</c:v>
                </c:pt>
                <c:pt idx="942">
                  <c:v>1403/10/22</c:v>
                </c:pt>
                <c:pt idx="943">
                  <c:v>1403/12/01</c:v>
                </c:pt>
                <c:pt idx="944">
                  <c:v>1403/12/28</c:v>
                </c:pt>
                <c:pt idx="945">
                  <c:v>1404/05/02</c:v>
                </c:pt>
                <c:pt idx="946">
                  <c:v>1404/05/20</c:v>
                </c:pt>
                <c:pt idx="947">
                  <c:v>1404/05/30</c:v>
                </c:pt>
                <c:pt idx="948">
                  <c:v>1404/06/27</c:v>
                </c:pt>
                <c:pt idx="949">
                  <c:v>1404/07/04</c:v>
                </c:pt>
                <c:pt idx="950">
                  <c:v>1404/07/05</c:v>
                </c:pt>
                <c:pt idx="951">
                  <c:v>1404/07/09</c:v>
                </c:pt>
                <c:pt idx="952">
                  <c:v>1404/07/14</c:v>
                </c:pt>
                <c:pt idx="953">
                  <c:v>1404/07/15</c:v>
                </c:pt>
                <c:pt idx="954">
                  <c:v>1404/07/16</c:v>
                </c:pt>
                <c:pt idx="955">
                  <c:v>1404/07/20</c:v>
                </c:pt>
                <c:pt idx="956">
                  <c:v>1404/07/23</c:v>
                </c:pt>
                <c:pt idx="957">
                  <c:v>1404/07/26</c:v>
                </c:pt>
                <c:pt idx="958">
                  <c:v>1404/07/28</c:v>
                </c:pt>
                <c:pt idx="959">
                  <c:v>1404/07/29</c:v>
                </c:pt>
                <c:pt idx="960">
                  <c:v>1404/07/30</c:v>
                </c:pt>
                <c:pt idx="961">
                  <c:v>1404/08/05</c:v>
                </c:pt>
                <c:pt idx="962">
                  <c:v>1404/08/07</c:v>
                </c:pt>
                <c:pt idx="963">
                  <c:v>1404/08/11</c:v>
                </c:pt>
                <c:pt idx="964">
                  <c:v>1404/08/12</c:v>
                </c:pt>
                <c:pt idx="965">
                  <c:v>1404/08/14</c:v>
                </c:pt>
                <c:pt idx="966">
                  <c:v>1404/08/18</c:v>
                </c:pt>
                <c:pt idx="967">
                  <c:v>1404/08/20</c:v>
                </c:pt>
                <c:pt idx="968">
                  <c:v>1404/08/25</c:v>
                </c:pt>
                <c:pt idx="969">
                  <c:v>1404/08/26</c:v>
                </c:pt>
                <c:pt idx="970">
                  <c:v>1404/08/28</c:v>
                </c:pt>
                <c:pt idx="971">
                  <c:v>1404/09/01</c:v>
                </c:pt>
                <c:pt idx="972">
                  <c:v>1404/09/02</c:v>
                </c:pt>
                <c:pt idx="973">
                  <c:v>1404/09/04</c:v>
                </c:pt>
                <c:pt idx="974">
                  <c:v>1404/09/05</c:v>
                </c:pt>
                <c:pt idx="975">
                  <c:v>1404/09/08</c:v>
                </c:pt>
                <c:pt idx="976">
                  <c:v>1404/09/09</c:v>
                </c:pt>
                <c:pt idx="977">
                  <c:v>1404/09/11</c:v>
                </c:pt>
                <c:pt idx="978">
                  <c:v>1404/09/12</c:v>
                </c:pt>
                <c:pt idx="979">
                  <c:v>1404/09/15</c:v>
                </c:pt>
                <c:pt idx="980">
                  <c:v>1404/09/16</c:v>
                </c:pt>
                <c:pt idx="981">
                  <c:v>1404/09/18</c:v>
                </c:pt>
                <c:pt idx="982">
                  <c:v>1404/09/19</c:v>
                </c:pt>
                <c:pt idx="983">
                  <c:v>1404/09/22</c:v>
                </c:pt>
                <c:pt idx="984">
                  <c:v>1404/09/23</c:v>
                </c:pt>
                <c:pt idx="985">
                  <c:v>1404/09/24</c:v>
                </c:pt>
                <c:pt idx="986">
                  <c:v>1404/09/25</c:v>
                </c:pt>
                <c:pt idx="987">
                  <c:v>1404/09/26</c:v>
                </c:pt>
                <c:pt idx="988">
                  <c:v>1404/09/29</c:v>
                </c:pt>
                <c:pt idx="989">
                  <c:v>1404/09/30</c:v>
                </c:pt>
                <c:pt idx="990">
                  <c:v>1404/10/01</c:v>
                </c:pt>
                <c:pt idx="991">
                  <c:v>1404/10/02</c:v>
                </c:pt>
                <c:pt idx="992">
                  <c:v>1404/10/03</c:v>
                </c:pt>
                <c:pt idx="993">
                  <c:v>1404/10/06</c:v>
                </c:pt>
                <c:pt idx="994">
                  <c:v>1404/10/07</c:v>
                </c:pt>
                <c:pt idx="995">
                  <c:v>1404/10/08</c:v>
                </c:pt>
                <c:pt idx="996">
                  <c:v>1404/10/09</c:v>
                </c:pt>
                <c:pt idx="997">
                  <c:v>1404/10/10</c:v>
                </c:pt>
                <c:pt idx="998">
                  <c:v>1404/10/11</c:v>
                </c:pt>
                <c:pt idx="999">
                  <c:v>1404/10/15</c:v>
                </c:pt>
                <c:pt idx="1000">
                  <c:v>1404/10/16</c:v>
                </c:pt>
                <c:pt idx="1001">
                  <c:v>1404/10/17</c:v>
                </c:pt>
                <c:pt idx="1002">
                  <c:v>1404/10/20</c:v>
                </c:pt>
                <c:pt idx="1003">
                  <c:v>1404/10/21</c:v>
                </c:pt>
                <c:pt idx="1004">
                  <c:v>1404/10/22</c:v>
                </c:pt>
                <c:pt idx="1005">
                  <c:v>1404/10/23</c:v>
                </c:pt>
                <c:pt idx="1006">
                  <c:v>1404/10/24</c:v>
                </c:pt>
                <c:pt idx="1007">
                  <c:v>1404/10/28</c:v>
                </c:pt>
                <c:pt idx="1008">
                  <c:v>1404/10/29</c:v>
                </c:pt>
                <c:pt idx="1009">
                  <c:v>1404/10/30</c:v>
                </c:pt>
                <c:pt idx="1010">
                  <c:v>1404/11/01</c:v>
                </c:pt>
                <c:pt idx="1011">
                  <c:v>1404/11/04</c:v>
                </c:pt>
                <c:pt idx="1012">
                  <c:v>1404/11/05</c:v>
                </c:pt>
                <c:pt idx="1013">
                  <c:v>1404/11/06</c:v>
                </c:pt>
                <c:pt idx="1014">
                  <c:v>1404/11/07</c:v>
                </c:pt>
                <c:pt idx="1015">
                  <c:v>1404/11/08</c:v>
                </c:pt>
                <c:pt idx="1016">
                  <c:v>1404/11/11</c:v>
                </c:pt>
                <c:pt idx="1017">
                  <c:v>1404/11/12</c:v>
                </c:pt>
                <c:pt idx="1018">
                  <c:v>1404/11/13</c:v>
                </c:pt>
                <c:pt idx="1019">
                  <c:v>1404/11/14</c:v>
                </c:pt>
                <c:pt idx="1020">
                  <c:v>1404/11/15</c:v>
                </c:pt>
                <c:pt idx="1021">
                  <c:v>1404/11/16</c:v>
                </c:pt>
                <c:pt idx="1022">
                  <c:v>1404/11/17</c:v>
                </c:pt>
                <c:pt idx="1023">
                  <c:v>1404/11/18</c:v>
                </c:pt>
                <c:pt idx="1024">
                  <c:v>1404/11/25</c:v>
                </c:pt>
                <c:pt idx="1025">
                  <c:v>1404/11/26</c:v>
                </c:pt>
                <c:pt idx="1026">
                  <c:v>1404/11/27</c:v>
                </c:pt>
                <c:pt idx="1027">
                  <c:v>1404/11/28</c:v>
                </c:pt>
                <c:pt idx="1028">
                  <c:v>1404/11/29</c:v>
                </c:pt>
                <c:pt idx="1029">
                  <c:v>1404/12/02</c:v>
                </c:pt>
                <c:pt idx="1030">
                  <c:v>1404/12/03</c:v>
                </c:pt>
                <c:pt idx="1031">
                  <c:v>1404/12/04</c:v>
                </c:pt>
                <c:pt idx="1032">
                  <c:v>1404/12/05</c:v>
                </c:pt>
                <c:pt idx="1033">
                  <c:v>1404/12/06</c:v>
                </c:pt>
                <c:pt idx="1034">
                  <c:v>1405/02/29</c:v>
                </c:pt>
                <c:pt idx="1035">
                  <c:v>1405/02/30</c:v>
                </c:pt>
                <c:pt idx="1036">
                  <c:v>1405/03/02</c:v>
                </c:pt>
                <c:pt idx="1037">
                  <c:v>1405/03/03</c:v>
                </c:pt>
                <c:pt idx="1038">
                  <c:v>1405/03/04</c:v>
                </c:pt>
                <c:pt idx="1039">
                  <c:v>1405/03/05</c:v>
                </c:pt>
                <c:pt idx="1040">
                  <c:v>1405/03/09</c:v>
                </c:pt>
                <c:pt idx="1041">
                  <c:v>1405/03/10</c:v>
                </c:pt>
                <c:pt idx="1042">
                  <c:v>1405/03/11</c:v>
                </c:pt>
                <c:pt idx="1043">
                  <c:v>1405/03/12</c:v>
                </c:pt>
                <c:pt idx="1044">
                  <c:v>1405/03/13</c:v>
                </c:pt>
                <c:pt idx="1045">
                  <c:v>1405/03/16</c:v>
                </c:pt>
                <c:pt idx="1046">
                  <c:v>1405/03/17</c:v>
                </c:pt>
                <c:pt idx="1047">
                  <c:v>1405/03/18</c:v>
                </c:pt>
                <c:pt idx="1048">
                  <c:v>1405/03/19</c:v>
                </c:pt>
                <c:pt idx="1049">
                  <c:v>1405/03/20</c:v>
                </c:pt>
                <c:pt idx="1050">
                  <c:v>1405/03/2۳</c:v>
                </c:pt>
                <c:pt idx="1051">
                  <c:v>1405/03/24</c:v>
                </c:pt>
                <c:pt idx="1052">
                  <c:v>1405/03/25</c:v>
                </c:pt>
                <c:pt idx="1053">
                  <c:v>1405/03/26</c:v>
                </c:pt>
                <c:pt idx="1054">
                  <c:v>1405/03/27</c:v>
                </c:pt>
                <c:pt idx="1055">
                  <c:v>1405/03/30</c:v>
                </c:pt>
                <c:pt idx="1056">
                  <c:v>1405/04/01</c:v>
                </c:pt>
                <c:pt idx="1057">
                  <c:v>1405/04/02</c:v>
                </c:pt>
                <c:pt idx="1058">
                  <c:v>1405/04/03</c:v>
                </c:pt>
                <c:pt idx="1059">
                  <c:v>1405/04/06</c:v>
                </c:pt>
                <c:pt idx="1060">
                  <c:v>1405/04/07</c:v>
                </c:pt>
                <c:pt idx="1061">
                  <c:v>1405/04/08</c:v>
                </c:pt>
                <c:pt idx="1062">
                  <c:v>1405/04/09</c:v>
                </c:pt>
                <c:pt idx="1063">
                  <c:v>1405/04/16</c:v>
                </c:pt>
                <c:pt idx="1064">
                  <c:v>1405/04/17</c:v>
                </c:pt>
                <c:pt idx="1065">
                  <c:v>1405/04/18</c:v>
                </c:pt>
                <c:pt idx="1066">
                  <c:v>1405/04/19</c:v>
                </c:pt>
                <c:pt idx="1067">
                  <c:v>1405/04/20</c:v>
                </c:pt>
                <c:pt idx="1068">
                  <c:v>1405/04/21</c:v>
                </c:pt>
                <c:pt idx="1069">
                  <c:v>1405/04/22</c:v>
                </c:pt>
                <c:pt idx="1070">
                  <c:v>1405/04/23</c:v>
                </c:pt>
                <c:pt idx="1071">
                  <c:v>1405/04/30</c:v>
                </c:pt>
                <c:pt idx="1072">
                  <c:v>1405/04/31</c:v>
                </c:pt>
                <c:pt idx="1073">
                  <c:v>1405/05/03</c:v>
                </c:pt>
                <c:pt idx="1074">
                  <c:v>1405/05/04</c:v>
                </c:pt>
                <c:pt idx="1075">
                  <c:v>1405/05/05</c:v>
                </c:pt>
                <c:pt idx="1076">
                  <c:v>1405/05/06</c:v>
                </c:pt>
                <c:pt idx="1077">
                  <c:v>1405/05/07</c:v>
                </c:pt>
                <c:pt idx="1078">
                  <c:v>1405/05/10</c:v>
                </c:pt>
                <c:pt idx="1079">
                  <c:v>1405/05/11</c:v>
                </c:pt>
                <c:pt idx="1080">
                  <c:v>1405/05/12</c:v>
                </c:pt>
                <c:pt idx="1081">
                  <c:v>1405/05/14</c:v>
                </c:pt>
                <c:pt idx="1082">
                  <c:v>1405/05/17</c:v>
                </c:pt>
                <c:pt idx="1083">
                  <c:v>1405/05/18</c:v>
                </c:pt>
                <c:pt idx="1084">
                  <c:v>1405/05/19</c:v>
                </c:pt>
                <c:pt idx="1085">
                  <c:v>1405/05/20</c:v>
                </c:pt>
                <c:pt idx="1086">
                  <c:v>1405/05/24</c:v>
                </c:pt>
                <c:pt idx="1087">
                  <c:v>1405/05/25</c:v>
                </c:pt>
                <c:pt idx="1088">
                  <c:v>1405/05/26</c:v>
                </c:pt>
              </c:strCache>
            </c:strRef>
          </c:cat>
          <c:val>
            <c:numRef>
              <c:f>Sheet2!$B$2:$B$1142</c:f>
              <c:numCache>
                <c:formatCode>#,##0</c:formatCode>
                <c:ptCount val="1141"/>
                <c:pt idx="0">
                  <c:v>789000000</c:v>
                </c:pt>
                <c:pt idx="1">
                  <c:v>889000000</c:v>
                </c:pt>
                <c:pt idx="2">
                  <c:v>954000000</c:v>
                </c:pt>
                <c:pt idx="3">
                  <c:v>1020000000</c:v>
                </c:pt>
                <c:pt idx="4">
                  <c:v>1120000000</c:v>
                </c:pt>
                <c:pt idx="5">
                  <c:v>1220000000</c:v>
                </c:pt>
                <c:pt idx="6">
                  <c:v>1290000000</c:v>
                </c:pt>
                <c:pt idx="7">
                  <c:v>1380000000</c:v>
                </c:pt>
                <c:pt idx="8">
                  <c:v>1430000000</c:v>
                </c:pt>
                <c:pt idx="9">
                  <c:v>1550000000</c:v>
                </c:pt>
                <c:pt idx="10">
                  <c:v>1610000000</c:v>
                </c:pt>
                <c:pt idx="11">
                  <c:v>1670000000</c:v>
                </c:pt>
                <c:pt idx="12">
                  <c:v>1770000000</c:v>
                </c:pt>
                <c:pt idx="13">
                  <c:v>1810000000</c:v>
                </c:pt>
                <c:pt idx="14">
                  <c:v>1930000000</c:v>
                </c:pt>
                <c:pt idx="15">
                  <c:v>2010000000</c:v>
                </c:pt>
                <c:pt idx="16">
                  <c:v>2030000000</c:v>
                </c:pt>
                <c:pt idx="17">
                  <c:v>2090000000</c:v>
                </c:pt>
                <c:pt idx="18">
                  <c:v>2190000000</c:v>
                </c:pt>
                <c:pt idx="19">
                  <c:v>2210000000</c:v>
                </c:pt>
                <c:pt idx="20">
                  <c:v>2240000000</c:v>
                </c:pt>
                <c:pt idx="21">
                  <c:v>2310000000</c:v>
                </c:pt>
                <c:pt idx="22">
                  <c:v>2320000000</c:v>
                </c:pt>
                <c:pt idx="23">
                  <c:v>2400000000</c:v>
                </c:pt>
                <c:pt idx="24">
                  <c:v>2430000000</c:v>
                </c:pt>
                <c:pt idx="25">
                  <c:v>2560000000</c:v>
                </c:pt>
                <c:pt idx="26">
                  <c:v>2610000000</c:v>
                </c:pt>
                <c:pt idx="27">
                  <c:v>2660000000</c:v>
                </c:pt>
                <c:pt idx="28">
                  <c:v>2640000000</c:v>
                </c:pt>
                <c:pt idx="29">
                  <c:v>2720000000</c:v>
                </c:pt>
                <c:pt idx="30">
                  <c:v>2790000000</c:v>
                </c:pt>
                <c:pt idx="31">
                  <c:v>2870000000</c:v>
                </c:pt>
                <c:pt idx="32">
                  <c:v>2960000000</c:v>
                </c:pt>
                <c:pt idx="33">
                  <c:v>3010000000</c:v>
                </c:pt>
                <c:pt idx="34">
                  <c:v>3030000000</c:v>
                </c:pt>
                <c:pt idx="35">
                  <c:v>3140000000</c:v>
                </c:pt>
                <c:pt idx="36">
                  <c:v>3090000000</c:v>
                </c:pt>
                <c:pt idx="37">
                  <c:v>3190000000</c:v>
                </c:pt>
                <c:pt idx="38">
                  <c:v>3210000000</c:v>
                </c:pt>
                <c:pt idx="39">
                  <c:v>3270000000</c:v>
                </c:pt>
                <c:pt idx="40">
                  <c:v>3360000000</c:v>
                </c:pt>
                <c:pt idx="41">
                  <c:v>3370000000</c:v>
                </c:pt>
                <c:pt idx="42">
                  <c:v>3510000000</c:v>
                </c:pt>
                <c:pt idx="43">
                  <c:v>3480000000</c:v>
                </c:pt>
                <c:pt idx="44">
                  <c:v>3660000000</c:v>
                </c:pt>
                <c:pt idx="45">
                  <c:v>3590000000</c:v>
                </c:pt>
                <c:pt idx="46">
                  <c:v>3780000000</c:v>
                </c:pt>
                <c:pt idx="47">
                  <c:v>3740000000</c:v>
                </c:pt>
                <c:pt idx="48">
                  <c:v>3780000000</c:v>
                </c:pt>
                <c:pt idx="49">
                  <c:v>3860000000</c:v>
                </c:pt>
                <c:pt idx="50">
                  <c:v>3970000000</c:v>
                </c:pt>
                <c:pt idx="51">
                  <c:v>3960000000</c:v>
                </c:pt>
                <c:pt idx="52">
                  <c:v>4030000000</c:v>
                </c:pt>
                <c:pt idx="53">
                  <c:v>4130000000</c:v>
                </c:pt>
                <c:pt idx="54">
                  <c:v>4110000000</c:v>
                </c:pt>
                <c:pt idx="55">
                  <c:v>4160000000</c:v>
                </c:pt>
                <c:pt idx="56">
                  <c:v>4300000000</c:v>
                </c:pt>
                <c:pt idx="57">
                  <c:v>4370000000</c:v>
                </c:pt>
                <c:pt idx="58">
                  <c:v>4370000000</c:v>
                </c:pt>
                <c:pt idx="59">
                  <c:v>4500000000</c:v>
                </c:pt>
                <c:pt idx="60">
                  <c:v>4500000000</c:v>
                </c:pt>
                <c:pt idx="61">
                  <c:v>4680000000</c:v>
                </c:pt>
                <c:pt idx="62">
                  <c:v>4700000000</c:v>
                </c:pt>
                <c:pt idx="63">
                  <c:v>4820000000</c:v>
                </c:pt>
                <c:pt idx="64">
                  <c:v>4920000000</c:v>
                </c:pt>
                <c:pt idx="65">
                  <c:v>5030000000</c:v>
                </c:pt>
                <c:pt idx="66">
                  <c:v>5010000000</c:v>
                </c:pt>
                <c:pt idx="67">
                  <c:v>5030000000</c:v>
                </c:pt>
                <c:pt idx="68">
                  <c:v>5150000000</c:v>
                </c:pt>
                <c:pt idx="69">
                  <c:v>5230000000</c:v>
                </c:pt>
                <c:pt idx="70">
                  <c:v>5380000000</c:v>
                </c:pt>
                <c:pt idx="71">
                  <c:v>5460000000</c:v>
                </c:pt>
                <c:pt idx="72">
                  <c:v>5400000000</c:v>
                </c:pt>
                <c:pt idx="73">
                  <c:v>5500000000</c:v>
                </c:pt>
                <c:pt idx="74">
                  <c:v>5590000000</c:v>
                </c:pt>
                <c:pt idx="75">
                  <c:v>5830000000</c:v>
                </c:pt>
                <c:pt idx="76">
                  <c:v>5860000000</c:v>
                </c:pt>
                <c:pt idx="77">
                  <c:v>5810000000</c:v>
                </c:pt>
                <c:pt idx="78">
                  <c:v>6010000000</c:v>
                </c:pt>
                <c:pt idx="79">
                  <c:v>6170000000</c:v>
                </c:pt>
                <c:pt idx="80">
                  <c:v>6120000000</c:v>
                </c:pt>
                <c:pt idx="81">
                  <c:v>6270000000</c:v>
                </c:pt>
                <c:pt idx="82">
                  <c:v>6390000000</c:v>
                </c:pt>
                <c:pt idx="83">
                  <c:v>6420000000</c:v>
                </c:pt>
                <c:pt idx="84">
                  <c:v>6560000000</c:v>
                </c:pt>
                <c:pt idx="85">
                  <c:v>6590000000</c:v>
                </c:pt>
                <c:pt idx="86">
                  <c:v>6650000000</c:v>
                </c:pt>
                <c:pt idx="87">
                  <c:v>6710000000</c:v>
                </c:pt>
                <c:pt idx="88">
                  <c:v>6810000000</c:v>
                </c:pt>
                <c:pt idx="89">
                  <c:v>6840000000</c:v>
                </c:pt>
                <c:pt idx="90">
                  <c:v>6850000000</c:v>
                </c:pt>
                <c:pt idx="91">
                  <c:v>6890000000</c:v>
                </c:pt>
                <c:pt idx="92">
                  <c:v>7150000000</c:v>
                </c:pt>
                <c:pt idx="93">
                  <c:v>7200000000</c:v>
                </c:pt>
                <c:pt idx="94">
                  <c:v>7140000000</c:v>
                </c:pt>
                <c:pt idx="95">
                  <c:v>7340000000</c:v>
                </c:pt>
                <c:pt idx="96">
                  <c:v>7370000000</c:v>
                </c:pt>
                <c:pt idx="97">
                  <c:v>7480000000</c:v>
                </c:pt>
                <c:pt idx="98">
                  <c:v>7670000000</c:v>
                </c:pt>
                <c:pt idx="99">
                  <c:v>7530000000</c:v>
                </c:pt>
                <c:pt idx="100">
                  <c:v>7850000000</c:v>
                </c:pt>
                <c:pt idx="101">
                  <c:v>7730000000</c:v>
                </c:pt>
                <c:pt idx="102">
                  <c:v>8020000000</c:v>
                </c:pt>
                <c:pt idx="103">
                  <c:v>8110000000</c:v>
                </c:pt>
                <c:pt idx="104">
                  <c:v>8040000000</c:v>
                </c:pt>
                <c:pt idx="105">
                  <c:v>8170000000</c:v>
                </c:pt>
                <c:pt idx="106">
                  <c:v>8180000000</c:v>
                </c:pt>
                <c:pt idx="107">
                  <c:v>8340000000</c:v>
                </c:pt>
                <c:pt idx="108">
                  <c:v>8240000000</c:v>
                </c:pt>
                <c:pt idx="109">
                  <c:v>8200000000</c:v>
                </c:pt>
                <c:pt idx="110">
                  <c:v>8400000000</c:v>
                </c:pt>
                <c:pt idx="111">
                  <c:v>8330000000</c:v>
                </c:pt>
                <c:pt idx="112">
                  <c:v>8290000000</c:v>
                </c:pt>
                <c:pt idx="113">
                  <c:v>8380000000</c:v>
                </c:pt>
                <c:pt idx="114" formatCode="0.00E+00">
                  <c:v>8190000000</c:v>
                </c:pt>
                <c:pt idx="115" formatCode="0.00E+00">
                  <c:v>9400000000</c:v>
                </c:pt>
                <c:pt idx="116" formatCode="0.00E+00">
                  <c:v>10600000000</c:v>
                </c:pt>
                <c:pt idx="117" formatCode="0.00E+00">
                  <c:v>11700000000</c:v>
                </c:pt>
                <c:pt idx="118" formatCode="0.00E+00">
                  <c:v>13200000000</c:v>
                </c:pt>
                <c:pt idx="119" formatCode="0.00E+00">
                  <c:v>14700000000</c:v>
                </c:pt>
                <c:pt idx="120" formatCode="0.00E+00">
                  <c:v>15800000000</c:v>
                </c:pt>
                <c:pt idx="121" formatCode="0.00E+00">
                  <c:v>16800000000</c:v>
                </c:pt>
                <c:pt idx="122" formatCode="0.00E+00">
                  <c:v>18500000000</c:v>
                </c:pt>
                <c:pt idx="123" formatCode="0.00E+00">
                  <c:v>19100000000</c:v>
                </c:pt>
                <c:pt idx="124" formatCode="0.00E+00">
                  <c:v>20500000000</c:v>
                </c:pt>
                <c:pt idx="125" formatCode="0.00E+00">
                  <c:v>21800000000</c:v>
                </c:pt>
                <c:pt idx="126" formatCode="0.00E+00">
                  <c:v>22700000000</c:v>
                </c:pt>
                <c:pt idx="127" formatCode="0.00E+00">
                  <c:v>24400000000</c:v>
                </c:pt>
                <c:pt idx="128" formatCode="0.00E+00">
                  <c:v>25200000000</c:v>
                </c:pt>
                <c:pt idx="129" formatCode="0.00E+00">
                  <c:v>26900000000</c:v>
                </c:pt>
                <c:pt idx="130" formatCode="0.00E+00">
                  <c:v>27800000000</c:v>
                </c:pt>
                <c:pt idx="131" formatCode="0.00E+00">
                  <c:v>29000000000</c:v>
                </c:pt>
                <c:pt idx="132" formatCode="0.00E+00">
                  <c:v>30200000000</c:v>
                </c:pt>
                <c:pt idx="133" formatCode="0.00E+00">
                  <c:v>30100000000</c:v>
                </c:pt>
                <c:pt idx="134" formatCode="0.00E+00">
                  <c:v>31800000000</c:v>
                </c:pt>
                <c:pt idx="135" formatCode="0.00E+00">
                  <c:v>40000000000</c:v>
                </c:pt>
                <c:pt idx="136" formatCode="0.00E+00">
                  <c:v>37200000000</c:v>
                </c:pt>
                <c:pt idx="137" formatCode="0.00E+00">
                  <c:v>35400000000</c:v>
                </c:pt>
                <c:pt idx="138" formatCode="0.00E+00">
                  <c:v>31700000000</c:v>
                </c:pt>
                <c:pt idx="139" formatCode="0.00E+00">
                  <c:v>29900000000</c:v>
                </c:pt>
                <c:pt idx="140" formatCode="0.00E+00">
                  <c:v>29300000000</c:v>
                </c:pt>
                <c:pt idx="141" formatCode="0.00E+00">
                  <c:v>28500000000</c:v>
                </c:pt>
                <c:pt idx="142" formatCode="0.00E+00">
                  <c:v>27400000000</c:v>
                </c:pt>
                <c:pt idx="143" formatCode="0.00E+00">
                  <c:v>26800000000</c:v>
                </c:pt>
                <c:pt idx="144" formatCode="0.00E+00">
                  <c:v>26600000000</c:v>
                </c:pt>
                <c:pt idx="145" formatCode="0.00E+00">
                  <c:v>25900000000</c:v>
                </c:pt>
                <c:pt idx="146" formatCode="0.00E+00">
                  <c:v>25200000000</c:v>
                </c:pt>
                <c:pt idx="147" formatCode="0.00E+00">
                  <c:v>24500000000</c:v>
                </c:pt>
                <c:pt idx="148" formatCode="0.00E+00">
                  <c:v>24500000000</c:v>
                </c:pt>
                <c:pt idx="149" formatCode="0.00E+00">
                  <c:v>23200000000</c:v>
                </c:pt>
                <c:pt idx="150" formatCode="0.00E+00">
                  <c:v>22800000000</c:v>
                </c:pt>
                <c:pt idx="151" formatCode="0.00E+00">
                  <c:v>22400000000</c:v>
                </c:pt>
                <c:pt idx="152" formatCode="0.00E+00">
                  <c:v>21700000000</c:v>
                </c:pt>
                <c:pt idx="153" formatCode="0.00E+00">
                  <c:v>21200000000</c:v>
                </c:pt>
                <c:pt idx="154" formatCode="0.00E+00">
                  <c:v>20700000000</c:v>
                </c:pt>
                <c:pt idx="155" formatCode="0.00E+00">
                  <c:v>19700000000</c:v>
                </c:pt>
                <c:pt idx="156" formatCode="0.00E+00">
                  <c:v>18800000000</c:v>
                </c:pt>
                <c:pt idx="157" formatCode="0.00E+00">
                  <c:v>18500000000</c:v>
                </c:pt>
                <c:pt idx="158" formatCode="0.00E+00">
                  <c:v>17800000000</c:v>
                </c:pt>
                <c:pt idx="159" formatCode="0.00E+00">
                  <c:v>17300000000</c:v>
                </c:pt>
                <c:pt idx="160" formatCode="0.00E+00">
                  <c:v>17000000000</c:v>
                </c:pt>
                <c:pt idx="161" formatCode="0.00E+00">
                  <c:v>16100000000</c:v>
                </c:pt>
                <c:pt idx="162" formatCode="0.00E+00">
                  <c:v>15700000000</c:v>
                </c:pt>
                <c:pt idx="163" formatCode="0.00E+00">
                  <c:v>15300000000</c:v>
                </c:pt>
                <c:pt idx="164" formatCode="0.00E+00">
                  <c:v>14900000000</c:v>
                </c:pt>
                <c:pt idx="165" formatCode="0.00E+00">
                  <c:v>14900000000</c:v>
                </c:pt>
                <c:pt idx="166" formatCode="0.00E+00">
                  <c:v>14500000000</c:v>
                </c:pt>
                <c:pt idx="167" formatCode="0.00E+00">
                  <c:v>14600000000</c:v>
                </c:pt>
                <c:pt idx="168" formatCode="0.00E+00">
                  <c:v>14700000000</c:v>
                </c:pt>
                <c:pt idx="169" formatCode="0.00E+00">
                  <c:v>14700000000</c:v>
                </c:pt>
                <c:pt idx="170" formatCode="0.00E+00">
                  <c:v>14600000000</c:v>
                </c:pt>
                <c:pt idx="171" formatCode="0.00E+00">
                  <c:v>14400000000</c:v>
                </c:pt>
                <c:pt idx="172" formatCode="0.00E+00">
                  <c:v>13900000000</c:v>
                </c:pt>
                <c:pt idx="173" formatCode="0.00E+00">
                  <c:v>14200000000</c:v>
                </c:pt>
                <c:pt idx="174" formatCode="0.00E+00">
                  <c:v>13900000000</c:v>
                </c:pt>
                <c:pt idx="175" formatCode="0.00E+00">
                  <c:v>14200000000</c:v>
                </c:pt>
                <c:pt idx="176" formatCode="0.00E+00">
                  <c:v>14200000000</c:v>
                </c:pt>
                <c:pt idx="177" formatCode="0.00E+00">
                  <c:v>14400000000</c:v>
                </c:pt>
                <c:pt idx="178" formatCode="0.00E+00">
                  <c:v>14200000000</c:v>
                </c:pt>
                <c:pt idx="179" formatCode="0.00E+00">
                  <c:v>14300000000</c:v>
                </c:pt>
                <c:pt idx="180" formatCode="0.00E+00">
                  <c:v>14400000000</c:v>
                </c:pt>
                <c:pt idx="181" formatCode="0.00E+00">
                  <c:v>14400000000</c:v>
                </c:pt>
                <c:pt idx="182" formatCode="0.00E+00">
                  <c:v>15000000000</c:v>
                </c:pt>
                <c:pt idx="183" formatCode="0.00E+00">
                  <c:v>14700000000</c:v>
                </c:pt>
                <c:pt idx="184" formatCode="0.00E+00">
                  <c:v>15200000000</c:v>
                </c:pt>
                <c:pt idx="185" formatCode="0.00E+00">
                  <c:v>15000000000</c:v>
                </c:pt>
                <c:pt idx="186" formatCode="0.00E+00">
                  <c:v>15100000000</c:v>
                </c:pt>
                <c:pt idx="187" formatCode="0.00E+00">
                  <c:v>15200000000</c:v>
                </c:pt>
                <c:pt idx="188" formatCode="0.00E+00">
                  <c:v>15300000000</c:v>
                </c:pt>
                <c:pt idx="189" formatCode="0.00E+00">
                  <c:v>15400000000</c:v>
                </c:pt>
                <c:pt idx="190">
                  <c:v>16493187084.4988</c:v>
                </c:pt>
                <c:pt idx="191">
                  <c:v>16734112265.174223</c:v>
                </c:pt>
                <c:pt idx="192">
                  <c:v>16849085228.023041</c:v>
                </c:pt>
                <c:pt idx="193">
                  <c:v>16912586176.268578</c:v>
                </c:pt>
                <c:pt idx="194">
                  <c:v>17458803186.232414</c:v>
                </c:pt>
                <c:pt idx="195">
                  <c:v>17595717631.72868</c:v>
                </c:pt>
                <c:pt idx="196">
                  <c:v>18069815012.670444</c:v>
                </c:pt>
                <c:pt idx="197">
                  <c:v>18374313111.646461</c:v>
                </c:pt>
                <c:pt idx="198">
                  <c:v>18277257904.138023</c:v>
                </c:pt>
                <c:pt idx="199">
                  <c:v>18596860265.755482</c:v>
                </c:pt>
                <c:pt idx="200">
                  <c:v>19333141081.438202</c:v>
                </c:pt>
                <c:pt idx="201">
                  <c:v>19924310057.113235</c:v>
                </c:pt>
                <c:pt idx="202">
                  <c:v>19783634499.78986</c:v>
                </c:pt>
                <c:pt idx="203">
                  <c:v>20668128379.821754</c:v>
                </c:pt>
                <c:pt idx="204">
                  <c:v>21182524269.815338</c:v>
                </c:pt>
                <c:pt idx="205">
                  <c:v>21288535072.408989</c:v>
                </c:pt>
                <c:pt idx="206">
                  <c:v>21512337950.407295</c:v>
                </c:pt>
                <c:pt idx="207">
                  <c:v>21113904710.912914</c:v>
                </c:pt>
                <c:pt idx="208">
                  <c:v>21423898066.902161</c:v>
                </c:pt>
                <c:pt idx="209">
                  <c:v>21151271668.343338</c:v>
                </c:pt>
                <c:pt idx="210">
                  <c:v>21327060502.307777</c:v>
                </c:pt>
                <c:pt idx="211">
                  <c:v>21573847253.614006</c:v>
                </c:pt>
                <c:pt idx="212">
                  <c:v>20665656631.082245</c:v>
                </c:pt>
                <c:pt idx="213">
                  <c:v>20223512527.886803</c:v>
                </c:pt>
                <c:pt idx="214">
                  <c:v>20840393174.799599</c:v>
                </c:pt>
                <c:pt idx="215">
                  <c:v>20646022271.743492</c:v>
                </c:pt>
                <c:pt idx="216">
                  <c:v>19840473500.214264</c:v>
                </c:pt>
                <c:pt idx="217">
                  <c:v>19457749555.883495</c:v>
                </c:pt>
                <c:pt idx="218">
                  <c:v>19785180511.338718</c:v>
                </c:pt>
                <c:pt idx="219">
                  <c:v>19211853378.458569</c:v>
                </c:pt>
                <c:pt idx="220">
                  <c:v>19596105741.522961</c:v>
                </c:pt>
                <c:pt idx="221">
                  <c:v>20521580148.6567</c:v>
                </c:pt>
                <c:pt idx="222">
                  <c:v>20636814705.475388</c:v>
                </c:pt>
                <c:pt idx="223">
                  <c:v>20990644889.209953</c:v>
                </c:pt>
                <c:pt idx="224">
                  <c:v>21029919627.703926</c:v>
                </c:pt>
                <c:pt idx="225">
                  <c:v>21889897693.012695</c:v>
                </c:pt>
                <c:pt idx="226">
                  <c:v>21746221243.583607</c:v>
                </c:pt>
                <c:pt idx="227">
                  <c:v>22194990617.924923</c:v>
                </c:pt>
                <c:pt idx="228">
                  <c:v>22761971215.276913</c:v>
                </c:pt>
                <c:pt idx="229">
                  <c:v>22043314365.876102</c:v>
                </c:pt>
                <c:pt idx="230">
                  <c:v>21950061539.08905</c:v>
                </c:pt>
                <c:pt idx="231">
                  <c:v>21811351475.535034</c:v>
                </c:pt>
                <c:pt idx="232">
                  <c:v>20919686413.94038</c:v>
                </c:pt>
                <c:pt idx="233">
                  <c:v>20271719128.613811</c:v>
                </c:pt>
                <c:pt idx="234">
                  <c:v>20757036237.05706</c:v>
                </c:pt>
                <c:pt idx="235">
                  <c:v>20495734218.81345</c:v>
                </c:pt>
                <c:pt idx="236">
                  <c:v>20421194739.829182</c:v>
                </c:pt>
                <c:pt idx="237">
                  <c:v>20663087095.247257</c:v>
                </c:pt>
                <c:pt idx="238">
                  <c:v>20184024235.540142</c:v>
                </c:pt>
                <c:pt idx="239">
                  <c:v>19614625879.986347</c:v>
                </c:pt>
                <c:pt idx="240">
                  <c:v>19144516851.47781</c:v>
                </c:pt>
                <c:pt idx="241">
                  <c:v>19218516630.006596</c:v>
                </c:pt>
                <c:pt idx="242">
                  <c:v>19451489914.892841</c:v>
                </c:pt>
                <c:pt idx="243">
                  <c:v>19004842600.042862</c:v>
                </c:pt>
                <c:pt idx="244">
                  <c:v>18251986227.370319</c:v>
                </c:pt>
                <c:pt idx="245">
                  <c:v>18940337632.37989</c:v>
                </c:pt>
                <c:pt idx="246">
                  <c:v>19143489404.630001</c:v>
                </c:pt>
                <c:pt idx="247">
                  <c:v>19460259372.818775</c:v>
                </c:pt>
                <c:pt idx="248">
                  <c:v>20225226179.983768</c:v>
                </c:pt>
                <c:pt idx="249">
                  <c:v>19815383246.501823</c:v>
                </c:pt>
                <c:pt idx="250">
                  <c:v>19753418570.463863</c:v>
                </c:pt>
                <c:pt idx="251">
                  <c:v>20252560599.37418</c:v>
                </c:pt>
                <c:pt idx="252">
                  <c:v>20391374655.263115</c:v>
                </c:pt>
                <c:pt idx="253">
                  <c:v>20000686602.415535</c:v>
                </c:pt>
                <c:pt idx="254">
                  <c:v>20104370236.08054</c:v>
                </c:pt>
                <c:pt idx="255">
                  <c:v>19520148659.19603</c:v>
                </c:pt>
                <c:pt idx="256">
                  <c:v>19512244149.866783</c:v>
                </c:pt>
                <c:pt idx="257">
                  <c:v>19537712130.46368</c:v>
                </c:pt>
                <c:pt idx="258">
                  <c:v>18921480518.137161</c:v>
                </c:pt>
                <c:pt idx="259">
                  <c:v>19034707520.218979</c:v>
                </c:pt>
                <c:pt idx="260">
                  <c:v>20489485190.22583</c:v>
                </c:pt>
                <c:pt idx="261">
                  <c:v>20775926522.908604</c:v>
                </c:pt>
                <c:pt idx="262">
                  <c:v>20837808503.815128</c:v>
                </c:pt>
                <c:pt idx="263">
                  <c:v>20179503647.196198</c:v>
                </c:pt>
                <c:pt idx="264">
                  <c:v>20150638232.819874</c:v>
                </c:pt>
                <c:pt idx="265">
                  <c:v>19996685280.532043</c:v>
                </c:pt>
                <c:pt idx="266">
                  <c:v>19868384800.658272</c:v>
                </c:pt>
                <c:pt idx="267">
                  <c:v>19545438778.361221</c:v>
                </c:pt>
                <c:pt idx="268">
                  <c:v>19710637996.478432</c:v>
                </c:pt>
                <c:pt idx="269">
                  <c:v>20156966387.135414</c:v>
                </c:pt>
                <c:pt idx="270">
                  <c:v>20053083803.089237</c:v>
                </c:pt>
                <c:pt idx="271">
                  <c:v>20041435698.781303</c:v>
                </c:pt>
                <c:pt idx="272">
                  <c:v>20433899157.941505</c:v>
                </c:pt>
                <c:pt idx="273">
                  <c:v>20313507803.625767</c:v>
                </c:pt>
                <c:pt idx="274">
                  <c:v>19687868277.677143</c:v>
                </c:pt>
                <c:pt idx="275">
                  <c:v>19232637308.090908</c:v>
                </c:pt>
                <c:pt idx="276">
                  <c:v>19325812215.894508</c:v>
                </c:pt>
                <c:pt idx="277">
                  <c:v>19329739739.185246</c:v>
                </c:pt>
                <c:pt idx="278">
                  <c:v>19528759470.046253</c:v>
                </c:pt>
                <c:pt idx="279">
                  <c:v>19102470705.437389</c:v>
                </c:pt>
                <c:pt idx="280">
                  <c:v>19240620206.970058</c:v>
                </c:pt>
                <c:pt idx="281">
                  <c:v>19497715377.422302</c:v>
                </c:pt>
                <c:pt idx="282">
                  <c:v>20231877850.230103</c:v>
                </c:pt>
                <c:pt idx="283">
                  <c:v>20728041752.402172</c:v>
                </c:pt>
                <c:pt idx="284">
                  <c:v>20810015192.107063</c:v>
                </c:pt>
                <c:pt idx="285">
                  <c:v>21257668559.40929</c:v>
                </c:pt>
                <c:pt idx="286">
                  <c:v>21211642999.911819</c:v>
                </c:pt>
                <c:pt idx="287">
                  <c:v>20943877899.227436</c:v>
                </c:pt>
                <c:pt idx="288">
                  <c:v>20559962505.44138</c:v>
                </c:pt>
                <c:pt idx="289">
                  <c:v>20660636622.58107</c:v>
                </c:pt>
                <c:pt idx="290">
                  <c:v>20674888449.726749</c:v>
                </c:pt>
                <c:pt idx="291">
                  <c:v>20332606437.379601</c:v>
                </c:pt>
                <c:pt idx="292">
                  <c:v>20329764280</c:v>
                </c:pt>
                <c:pt idx="293">
                  <c:v>20500225351.340679</c:v>
                </c:pt>
                <c:pt idx="294">
                  <c:v>19899459045.092461</c:v>
                </c:pt>
                <c:pt idx="295">
                  <c:v>19865319132.749367</c:v>
                </c:pt>
                <c:pt idx="296">
                  <c:v>20003411189.667633</c:v>
                </c:pt>
                <c:pt idx="297">
                  <c:v>20034632792.407124</c:v>
                </c:pt>
                <c:pt idx="298">
                  <c:v>19912585080.104317</c:v>
                </c:pt>
                <c:pt idx="299">
                  <c:v>19654189453.39394</c:v>
                </c:pt>
                <c:pt idx="300">
                  <c:v>19676724675.222984</c:v>
                </c:pt>
                <c:pt idx="301">
                  <c:v>19212631648.876736</c:v>
                </c:pt>
                <c:pt idx="302">
                  <c:v>19527883814.44923</c:v>
                </c:pt>
                <c:pt idx="303">
                  <c:v>19966594581.858803</c:v>
                </c:pt>
                <c:pt idx="304">
                  <c:v>19326331728.421616</c:v>
                </c:pt>
                <c:pt idx="305">
                  <c:v>19011873392.274315</c:v>
                </c:pt>
                <c:pt idx="306">
                  <c:v>18448972428.102814</c:v>
                </c:pt>
                <c:pt idx="307">
                  <c:v>19198617971.231495</c:v>
                </c:pt>
                <c:pt idx="308">
                  <c:v>19963868851.065777</c:v>
                </c:pt>
                <c:pt idx="309">
                  <c:v>20371605584.689907</c:v>
                </c:pt>
                <c:pt idx="310">
                  <c:v>20474358287.690014</c:v>
                </c:pt>
                <c:pt idx="311">
                  <c:v>20473105831.307518</c:v>
                </c:pt>
                <c:pt idx="312">
                  <c:v>20467236387.83577</c:v>
                </c:pt>
                <c:pt idx="313">
                  <c:v>20613818192.457478</c:v>
                </c:pt>
                <c:pt idx="314">
                  <c:v>20004478779.095337</c:v>
                </c:pt>
                <c:pt idx="315">
                  <c:v>19963306749.094475</c:v>
                </c:pt>
                <c:pt idx="316">
                  <c:v>20077768231.988792</c:v>
                </c:pt>
                <c:pt idx="317">
                  <c:v>20045214668.079807</c:v>
                </c:pt>
                <c:pt idx="318">
                  <c:v>20097932651.120163</c:v>
                </c:pt>
                <c:pt idx="319">
                  <c:v>19968614754.97192</c:v>
                </c:pt>
                <c:pt idx="320">
                  <c:v>20115912992.379196</c:v>
                </c:pt>
                <c:pt idx="321">
                  <c:v>20068863472.848377</c:v>
                </c:pt>
                <c:pt idx="322">
                  <c:v>19920077653.342876</c:v>
                </c:pt>
                <c:pt idx="323">
                  <c:v>19740405398.449963</c:v>
                </c:pt>
                <c:pt idx="324">
                  <c:v>19884927813.321415</c:v>
                </c:pt>
                <c:pt idx="325">
                  <c:v>20192229883.904984</c:v>
                </c:pt>
                <c:pt idx="326">
                  <c:v>20220735581.823399</c:v>
                </c:pt>
                <c:pt idx="327">
                  <c:v>20113756214.185272</c:v>
                </c:pt>
                <c:pt idx="328">
                  <c:v>20049004813</c:v>
                </c:pt>
                <c:pt idx="329">
                  <c:v>20069107939.229149</c:v>
                </c:pt>
                <c:pt idx="330">
                  <c:v>20195964197.525616</c:v>
                </c:pt>
                <c:pt idx="331">
                  <c:v>20623735982.932613</c:v>
                </c:pt>
                <c:pt idx="332">
                  <c:v>21368417860.735676</c:v>
                </c:pt>
                <c:pt idx="333">
                  <c:v>21971011777.853264</c:v>
                </c:pt>
                <c:pt idx="334">
                  <c:v>21789051388.950977</c:v>
                </c:pt>
                <c:pt idx="335">
                  <c:v>22192957088.987717</c:v>
                </c:pt>
                <c:pt idx="336">
                  <c:v>21542885502.755527</c:v>
                </c:pt>
                <c:pt idx="337">
                  <c:v>21628829566.059994</c:v>
                </c:pt>
                <c:pt idx="338">
                  <c:v>21609808360.704754</c:v>
                </c:pt>
                <c:pt idx="339">
                  <c:v>21529171989.959675</c:v>
                </c:pt>
                <c:pt idx="340">
                  <c:v>21652223630.936596</c:v>
                </c:pt>
                <c:pt idx="341">
                  <c:v>22189852641.097595</c:v>
                </c:pt>
                <c:pt idx="342">
                  <c:v>23033996042.17141</c:v>
                </c:pt>
                <c:pt idx="343">
                  <c:v>23291110323.234001</c:v>
                </c:pt>
                <c:pt idx="344">
                  <c:v>23230736855.610302</c:v>
                </c:pt>
                <c:pt idx="345">
                  <c:v>22938228128.57452</c:v>
                </c:pt>
                <c:pt idx="346">
                  <c:v>23050094232.509113</c:v>
                </c:pt>
                <c:pt idx="347">
                  <c:v>23622730825.506134</c:v>
                </c:pt>
                <c:pt idx="348">
                  <c:v>24080176264.28989</c:v>
                </c:pt>
                <c:pt idx="349">
                  <c:v>24169914575.034187</c:v>
                </c:pt>
                <c:pt idx="350">
                  <c:v>23738759825.575195</c:v>
                </c:pt>
                <c:pt idx="351">
                  <c:v>23699351872.330696</c:v>
                </c:pt>
                <c:pt idx="352">
                  <c:v>24104554594.90958</c:v>
                </c:pt>
                <c:pt idx="353">
                  <c:v>24166362925.938976</c:v>
                </c:pt>
                <c:pt idx="354">
                  <c:v>23317769319.974876</c:v>
                </c:pt>
                <c:pt idx="355">
                  <c:v>23803707570.912979</c:v>
                </c:pt>
                <c:pt idx="356">
                  <c:v>24099351413.395878</c:v>
                </c:pt>
                <c:pt idx="357">
                  <c:v>24110574139.448402</c:v>
                </c:pt>
                <c:pt idx="358">
                  <c:v>24777595027.256432</c:v>
                </c:pt>
                <c:pt idx="359">
                  <c:v>25187249675.87122</c:v>
                </c:pt>
                <c:pt idx="360">
                  <c:v>25014830975.569973</c:v>
                </c:pt>
                <c:pt idx="361">
                  <c:v>24633320396</c:v>
                </c:pt>
                <c:pt idx="362">
                  <c:v>24572542686.617554</c:v>
                </c:pt>
                <c:pt idx="363">
                  <c:v>24936008591.05312</c:v>
                </c:pt>
                <c:pt idx="364">
                  <c:v>24997537989.781982</c:v>
                </c:pt>
                <c:pt idx="365">
                  <c:v>25188281931.528912</c:v>
                </c:pt>
                <c:pt idx="366">
                  <c:v>25195148049</c:v>
                </c:pt>
                <c:pt idx="367">
                  <c:v>25482459553.990246</c:v>
                </c:pt>
                <c:pt idx="368">
                  <c:v>26240597512.438595</c:v>
                </c:pt>
                <c:pt idx="369">
                  <c:v>25778349201.331284</c:v>
                </c:pt>
                <c:pt idx="370">
                  <c:v>25215899584.454132</c:v>
                </c:pt>
                <c:pt idx="371">
                  <c:v>25157984438.758163</c:v>
                </c:pt>
                <c:pt idx="372">
                  <c:v>25774638523.283901</c:v>
                </c:pt>
                <c:pt idx="373">
                  <c:v>26382999131.593189</c:v>
                </c:pt>
                <c:pt idx="374">
                  <c:v>26039468447.234863</c:v>
                </c:pt>
                <c:pt idx="375">
                  <c:v>26164753094.334351</c:v>
                </c:pt>
                <c:pt idx="376">
                  <c:v>26233117527.718098</c:v>
                </c:pt>
                <c:pt idx="377">
                  <c:v>25513539783.62719</c:v>
                </c:pt>
                <c:pt idx="378">
                  <c:v>25225328851.527859</c:v>
                </c:pt>
                <c:pt idx="379">
                  <c:v>25253996967.348763</c:v>
                </c:pt>
                <c:pt idx="380">
                  <c:v>24760108710.991459</c:v>
                </c:pt>
                <c:pt idx="381">
                  <c:v>25004550069.860737</c:v>
                </c:pt>
                <c:pt idx="382">
                  <c:v>25332038352.00098</c:v>
                </c:pt>
                <c:pt idx="383">
                  <c:v>25343895963.318233</c:v>
                </c:pt>
                <c:pt idx="384">
                  <c:v>25038698424.035004</c:v>
                </c:pt>
                <c:pt idx="385">
                  <c:v>25161127126.031963</c:v>
                </c:pt>
                <c:pt idx="386">
                  <c:v>25367486839.326649</c:v>
                </c:pt>
                <c:pt idx="387">
                  <c:v>25207675357.217602</c:v>
                </c:pt>
                <c:pt idx="388">
                  <c:v>23942727071.283585</c:v>
                </c:pt>
                <c:pt idx="389">
                  <c:v>24010964952.623875</c:v>
                </c:pt>
                <c:pt idx="390">
                  <c:v>24153998670.746193</c:v>
                </c:pt>
                <c:pt idx="391">
                  <c:v>24094757388.299381</c:v>
                </c:pt>
                <c:pt idx="392">
                  <c:v>24794328989.435795</c:v>
                </c:pt>
                <c:pt idx="393">
                  <c:v>25556507024.978115</c:v>
                </c:pt>
                <c:pt idx="394">
                  <c:v>25421004998.795773</c:v>
                </c:pt>
                <c:pt idx="395">
                  <c:v>25123189401.60342</c:v>
                </c:pt>
                <c:pt idx="396">
                  <c:v>25333976637.087845</c:v>
                </c:pt>
                <c:pt idx="397">
                  <c:v>25228878171.641258</c:v>
                </c:pt>
                <c:pt idx="398">
                  <c:v>25226491576.752274</c:v>
                </c:pt>
                <c:pt idx="399">
                  <c:v>25058106149.581825</c:v>
                </c:pt>
                <c:pt idx="400">
                  <c:v>24984413078.338554</c:v>
                </c:pt>
                <c:pt idx="401">
                  <c:v>24746536869.691296</c:v>
                </c:pt>
                <c:pt idx="402">
                  <c:v>24315840465.397675</c:v>
                </c:pt>
                <c:pt idx="403">
                  <c:v>24398184022.929764</c:v>
                </c:pt>
                <c:pt idx="404">
                  <c:v>24828303288.39151</c:v>
                </c:pt>
                <c:pt idx="405">
                  <c:v>24686342810.0196</c:v>
                </c:pt>
                <c:pt idx="406">
                  <c:v>24278289946.549564</c:v>
                </c:pt>
                <c:pt idx="407">
                  <c:v>24476766209</c:v>
                </c:pt>
                <c:pt idx="408">
                  <c:v>24566364563.45071</c:v>
                </c:pt>
                <c:pt idx="409">
                  <c:v>24926360773.752953</c:v>
                </c:pt>
                <c:pt idx="410">
                  <c:v>24790120023.965061</c:v>
                </c:pt>
                <c:pt idx="411">
                  <c:v>24809838037.240303</c:v>
                </c:pt>
                <c:pt idx="412">
                  <c:v>24381775011.161705</c:v>
                </c:pt>
                <c:pt idx="413">
                  <c:v>24346168236.545326</c:v>
                </c:pt>
                <c:pt idx="414">
                  <c:v>24483407243.632351</c:v>
                </c:pt>
                <c:pt idx="415">
                  <c:v>24533820478.493134</c:v>
                </c:pt>
                <c:pt idx="416">
                  <c:v>24167989273.676899</c:v>
                </c:pt>
                <c:pt idx="417">
                  <c:v>24537806490.412907</c:v>
                </c:pt>
                <c:pt idx="418">
                  <c:v>24961555173.377583</c:v>
                </c:pt>
                <c:pt idx="419">
                  <c:v>24257010457.051373</c:v>
                </c:pt>
                <c:pt idx="420">
                  <c:v>24417488786.785168</c:v>
                </c:pt>
                <c:pt idx="421">
                  <c:v>24472887222.663143</c:v>
                </c:pt>
                <c:pt idx="422">
                  <c:v>24302094536.595863</c:v>
                </c:pt>
                <c:pt idx="423">
                  <c:v>23906163044.175735</c:v>
                </c:pt>
                <c:pt idx="424">
                  <c:v>24044825899.123215</c:v>
                </c:pt>
                <c:pt idx="425">
                  <c:v>24089182988.069313</c:v>
                </c:pt>
                <c:pt idx="426">
                  <c:v>24235548912.000965</c:v>
                </c:pt>
                <c:pt idx="427">
                  <c:v>24073703040.639023</c:v>
                </c:pt>
                <c:pt idx="428">
                  <c:v>24003998631.151939</c:v>
                </c:pt>
                <c:pt idx="429">
                  <c:v>23737240748.536057</c:v>
                </c:pt>
                <c:pt idx="430">
                  <c:v>24066105248.080559</c:v>
                </c:pt>
                <c:pt idx="431">
                  <c:v>24010516491.709969</c:v>
                </c:pt>
                <c:pt idx="432">
                  <c:v>23924697212.553505</c:v>
                </c:pt>
                <c:pt idx="433">
                  <c:v>23542247483.562561</c:v>
                </c:pt>
                <c:pt idx="434">
                  <c:v>22972645472.875614</c:v>
                </c:pt>
                <c:pt idx="435">
                  <c:v>22941252663.444607</c:v>
                </c:pt>
                <c:pt idx="436">
                  <c:v>22845667463.52113</c:v>
                </c:pt>
                <c:pt idx="437">
                  <c:v>22739366769.649891</c:v>
                </c:pt>
                <c:pt idx="438">
                  <c:v>22901515681.10696</c:v>
                </c:pt>
                <c:pt idx="439">
                  <c:v>23527833726.657856</c:v>
                </c:pt>
                <c:pt idx="440">
                  <c:v>23956316322.621014</c:v>
                </c:pt>
                <c:pt idx="441">
                  <c:v>23765555206.725685</c:v>
                </c:pt>
                <c:pt idx="442">
                  <c:v>23873822112.792145</c:v>
                </c:pt>
                <c:pt idx="443">
                  <c:v>23864469330.788639</c:v>
                </c:pt>
                <c:pt idx="444">
                  <c:v>23787268977.173592</c:v>
                </c:pt>
                <c:pt idx="445">
                  <c:v>23333865196.846241</c:v>
                </c:pt>
                <c:pt idx="446">
                  <c:v>23304285056.497047</c:v>
                </c:pt>
                <c:pt idx="447">
                  <c:v>23336652206.328117</c:v>
                </c:pt>
                <c:pt idx="448">
                  <c:v>23116843528.901253</c:v>
                </c:pt>
                <c:pt idx="449">
                  <c:v>22887841303.653458</c:v>
                </c:pt>
                <c:pt idx="450">
                  <c:v>22760099623.638115</c:v>
                </c:pt>
                <c:pt idx="451">
                  <c:v>22782917745.418015</c:v>
                </c:pt>
                <c:pt idx="452">
                  <c:v>22855805385.75095</c:v>
                </c:pt>
                <c:pt idx="453">
                  <c:v>22936221733.105415</c:v>
                </c:pt>
                <c:pt idx="454">
                  <c:v>22905949678.30439</c:v>
                </c:pt>
                <c:pt idx="455">
                  <c:v>22598617838.230022</c:v>
                </c:pt>
                <c:pt idx="456">
                  <c:v>22566314476.37352</c:v>
                </c:pt>
                <c:pt idx="457">
                  <c:v>22395020788</c:v>
                </c:pt>
                <c:pt idx="458">
                  <c:v>22290939777.28434</c:v>
                </c:pt>
                <c:pt idx="459">
                  <c:v>21969513713.584282</c:v>
                </c:pt>
                <c:pt idx="460">
                  <c:v>22059259138.823566</c:v>
                </c:pt>
                <c:pt idx="461">
                  <c:v>22588426596.373402</c:v>
                </c:pt>
                <c:pt idx="462">
                  <c:v>21867269170.827053</c:v>
                </c:pt>
                <c:pt idx="463">
                  <c:v>21729284347.28989</c:v>
                </c:pt>
                <c:pt idx="464">
                  <c:v>21732279419.830795</c:v>
                </c:pt>
                <c:pt idx="465">
                  <c:v>21757010610.146267</c:v>
                </c:pt>
                <c:pt idx="466">
                  <c:v>22379845416.306919</c:v>
                </c:pt>
                <c:pt idx="467">
                  <c:v>22139942347.561615</c:v>
                </c:pt>
                <c:pt idx="468">
                  <c:v>22346970676.288773</c:v>
                </c:pt>
                <c:pt idx="469">
                  <c:v>22762850180.705479</c:v>
                </c:pt>
                <c:pt idx="470">
                  <c:v>22776067832.487911</c:v>
                </c:pt>
                <c:pt idx="471">
                  <c:v>22733335229.678684</c:v>
                </c:pt>
                <c:pt idx="472">
                  <c:v>22535852210.04348</c:v>
                </c:pt>
                <c:pt idx="473">
                  <c:v>22752314955.598408</c:v>
                </c:pt>
                <c:pt idx="474">
                  <c:v>23062774938.289932</c:v>
                </c:pt>
                <c:pt idx="475">
                  <c:v>22952099126.769341</c:v>
                </c:pt>
                <c:pt idx="476">
                  <c:v>23055259383</c:v>
                </c:pt>
                <c:pt idx="477">
                  <c:v>23032279291.644241</c:v>
                </c:pt>
                <c:pt idx="478">
                  <c:v>23105171735.573029</c:v>
                </c:pt>
                <c:pt idx="479">
                  <c:v>23314726349.116055</c:v>
                </c:pt>
                <c:pt idx="480">
                  <c:v>23043837743.051121</c:v>
                </c:pt>
                <c:pt idx="481">
                  <c:v>23435138393.305595</c:v>
                </c:pt>
                <c:pt idx="482">
                  <c:v>24045779902.970028</c:v>
                </c:pt>
                <c:pt idx="483">
                  <c:v>24353649706.66394</c:v>
                </c:pt>
                <c:pt idx="484">
                  <c:v>24550478432.946377</c:v>
                </c:pt>
                <c:pt idx="485">
                  <c:v>24528956433.239075</c:v>
                </c:pt>
                <c:pt idx="486">
                  <c:v>25882169224.888355</c:v>
                </c:pt>
                <c:pt idx="487">
                  <c:v>26158380278</c:v>
                </c:pt>
                <c:pt idx="488">
                  <c:v>27315721869.605122</c:v>
                </c:pt>
                <c:pt idx="489">
                  <c:v>27744393536.122658</c:v>
                </c:pt>
                <c:pt idx="490">
                  <c:v>27980456800.449238</c:v>
                </c:pt>
                <c:pt idx="491">
                  <c:v>28050125272.783939</c:v>
                </c:pt>
                <c:pt idx="492">
                  <c:v>27899583868.031208</c:v>
                </c:pt>
                <c:pt idx="493">
                  <c:v>27364159912.906719</c:v>
                </c:pt>
                <c:pt idx="494">
                  <c:v>27362266809.180157</c:v>
                </c:pt>
                <c:pt idx="495">
                  <c:v>27433315115.513729</c:v>
                </c:pt>
                <c:pt idx="496">
                  <c:v>26493484708.312672</c:v>
                </c:pt>
                <c:pt idx="497">
                  <c:v>26987131385.245956</c:v>
                </c:pt>
                <c:pt idx="498">
                  <c:v>27143167096.429283</c:v>
                </c:pt>
                <c:pt idx="499">
                  <c:v>26884866699.881443</c:v>
                </c:pt>
                <c:pt idx="500">
                  <c:v>27022415102.711872</c:v>
                </c:pt>
                <c:pt idx="501">
                  <c:v>26710070334.13163</c:v>
                </c:pt>
                <c:pt idx="502">
                  <c:v>26496015242.276417</c:v>
                </c:pt>
                <c:pt idx="503">
                  <c:v>26737886491.5569</c:v>
                </c:pt>
                <c:pt idx="504">
                  <c:v>27136702114.740898</c:v>
                </c:pt>
                <c:pt idx="505">
                  <c:v>27198787658.268902</c:v>
                </c:pt>
                <c:pt idx="506">
                  <c:v>26993341008.464298</c:v>
                </c:pt>
                <c:pt idx="507">
                  <c:v>26941046236.895699</c:v>
                </c:pt>
                <c:pt idx="508">
                  <c:v>26780006640.0975</c:v>
                </c:pt>
                <c:pt idx="509">
                  <c:v>26660908175.604198</c:v>
                </c:pt>
                <c:pt idx="510">
                  <c:v>26272993069.291801</c:v>
                </c:pt>
                <c:pt idx="511">
                  <c:v>25993074474.7747</c:v>
                </c:pt>
                <c:pt idx="512">
                  <c:v>26640324523.143799</c:v>
                </c:pt>
                <c:pt idx="513">
                  <c:v>27039121481.451599</c:v>
                </c:pt>
                <c:pt idx="514">
                  <c:v>27936497867.998299</c:v>
                </c:pt>
                <c:pt idx="515">
                  <c:v>28331581226.293701</c:v>
                </c:pt>
                <c:pt idx="516">
                  <c:v>28061217528.449402</c:v>
                </c:pt>
                <c:pt idx="517">
                  <c:v>28561181911.798599</c:v>
                </c:pt>
                <c:pt idx="518">
                  <c:v>28309511154.284618</c:v>
                </c:pt>
                <c:pt idx="519">
                  <c:v>28144116319.867802</c:v>
                </c:pt>
                <c:pt idx="520">
                  <c:v>27892297559.673401</c:v>
                </c:pt>
                <c:pt idx="521">
                  <c:v>29331556098.581299</c:v>
                </c:pt>
                <c:pt idx="522">
                  <c:v>29819940443.821899</c:v>
                </c:pt>
                <c:pt idx="523">
                  <c:v>29814455542.003899</c:v>
                </c:pt>
                <c:pt idx="524">
                  <c:v>31486616683.790241</c:v>
                </c:pt>
                <c:pt idx="525">
                  <c:v>29796027068.3895</c:v>
                </c:pt>
                <c:pt idx="526">
                  <c:v>29258342831.805099</c:v>
                </c:pt>
                <c:pt idx="527">
                  <c:v>30021891776.859001</c:v>
                </c:pt>
                <c:pt idx="528">
                  <c:v>29858777214.671001</c:v>
                </c:pt>
                <c:pt idx="529">
                  <c:v>29354191387.149799</c:v>
                </c:pt>
                <c:pt idx="530">
                  <c:v>29440320808.7771</c:v>
                </c:pt>
                <c:pt idx="531">
                  <c:v>30339533583.867699</c:v>
                </c:pt>
                <c:pt idx="532">
                  <c:v>30375899389.690899</c:v>
                </c:pt>
                <c:pt idx="533">
                  <c:v>30568678898.251801</c:v>
                </c:pt>
                <c:pt idx="534">
                  <c:v>30179292310.852699</c:v>
                </c:pt>
                <c:pt idx="535">
                  <c:v>30213480554.719501</c:v>
                </c:pt>
                <c:pt idx="536">
                  <c:v>30944099946.286701</c:v>
                </c:pt>
                <c:pt idx="537">
                  <c:v>30982117763.025093</c:v>
                </c:pt>
                <c:pt idx="538">
                  <c:v>31328016388.020699</c:v>
                </c:pt>
                <c:pt idx="539">
                  <c:v>30394085704.165401</c:v>
                </c:pt>
                <c:pt idx="540">
                  <c:v>30514522544.034061</c:v>
                </c:pt>
                <c:pt idx="541">
                  <c:v>30614923259.248199</c:v>
                </c:pt>
                <c:pt idx="542">
                  <c:v>30726650847.8666</c:v>
                </c:pt>
                <c:pt idx="543">
                  <c:v>31118527140.300499</c:v>
                </c:pt>
                <c:pt idx="544">
                  <c:v>31082015976.529598</c:v>
                </c:pt>
                <c:pt idx="545">
                  <c:v>30937846902.579201</c:v>
                </c:pt>
                <c:pt idx="546">
                  <c:v>30840225122.100601</c:v>
                </c:pt>
                <c:pt idx="547">
                  <c:v>30816262016.2276</c:v>
                </c:pt>
                <c:pt idx="548">
                  <c:v>30835460447.6441</c:v>
                </c:pt>
                <c:pt idx="549">
                  <c:v>30860512267.502102</c:v>
                </c:pt>
                <c:pt idx="550">
                  <c:v>30863846522.538898</c:v>
                </c:pt>
                <c:pt idx="551">
                  <c:v>30862585946.354</c:v>
                </c:pt>
                <c:pt idx="552">
                  <c:v>30879536928.3424</c:v>
                </c:pt>
                <c:pt idx="553">
                  <c:v>30837518971.427898</c:v>
                </c:pt>
                <c:pt idx="554">
                  <c:v>30843703209.042198</c:v>
                </c:pt>
                <c:pt idx="555">
                  <c:v>30843562393.594002</c:v>
                </c:pt>
                <c:pt idx="556">
                  <c:v>30860753284.410301</c:v>
                </c:pt>
                <c:pt idx="557">
                  <c:v>30925941878.050098</c:v>
                </c:pt>
                <c:pt idx="558">
                  <c:v>30940063402.256401</c:v>
                </c:pt>
                <c:pt idx="559">
                  <c:v>30724088070.062599</c:v>
                </c:pt>
                <c:pt idx="560">
                  <c:v>30504212057.820801</c:v>
                </c:pt>
                <c:pt idx="561">
                  <c:v>32356813202.692101</c:v>
                </c:pt>
                <c:pt idx="562">
                  <c:v>33066455531.152401</c:v>
                </c:pt>
                <c:pt idx="563">
                  <c:v>32231272644.834999</c:v>
                </c:pt>
                <c:pt idx="564">
                  <c:v>32456786430.084499</c:v>
                </c:pt>
                <c:pt idx="565">
                  <c:v>31660518961.354198</c:v>
                </c:pt>
                <c:pt idx="566">
                  <c:v>31645373206.664501</c:v>
                </c:pt>
                <c:pt idx="567">
                  <c:v>31711081883.4189</c:v>
                </c:pt>
                <c:pt idx="568">
                  <c:v>31720551222.519875</c:v>
                </c:pt>
                <c:pt idx="569">
                  <c:v>31659150554.077801</c:v>
                </c:pt>
                <c:pt idx="570">
                  <c:v>31686355792.761101</c:v>
                </c:pt>
                <c:pt idx="571">
                  <c:v>31402979240.1847</c:v>
                </c:pt>
                <c:pt idx="572">
                  <c:v>31480728709.079201</c:v>
                </c:pt>
                <c:pt idx="573">
                  <c:v>31531611243.678532</c:v>
                </c:pt>
                <c:pt idx="574">
                  <c:v>31988092396.223701</c:v>
                </c:pt>
                <c:pt idx="575">
                  <c:v>33259879818.662201</c:v>
                </c:pt>
                <c:pt idx="576">
                  <c:v>33757441266.370899</c:v>
                </c:pt>
                <c:pt idx="577">
                  <c:v>34184967251</c:v>
                </c:pt>
                <c:pt idx="578">
                  <c:v>34096713830.07</c:v>
                </c:pt>
                <c:pt idx="579">
                  <c:v>34181832114.447601</c:v>
                </c:pt>
                <c:pt idx="580">
                  <c:v>35687520365.647926</c:v>
                </c:pt>
                <c:pt idx="581">
                  <c:v>36173827640.334396</c:v>
                </c:pt>
                <c:pt idx="582">
                  <c:v>36210586128.737</c:v>
                </c:pt>
                <c:pt idx="583">
                  <c:v>36414902077.434502</c:v>
                </c:pt>
                <c:pt idx="584">
                  <c:v>36857014487.154404</c:v>
                </c:pt>
                <c:pt idx="585">
                  <c:v>38696791653.958397</c:v>
                </c:pt>
                <c:pt idx="586">
                  <c:v>39193287731.961601</c:v>
                </c:pt>
                <c:pt idx="587">
                  <c:v>38912648999.6492</c:v>
                </c:pt>
                <c:pt idx="588">
                  <c:v>39064572155.5839</c:v>
                </c:pt>
                <c:pt idx="589">
                  <c:v>40085843012.8312</c:v>
                </c:pt>
                <c:pt idx="590">
                  <c:v>40400446426.025398</c:v>
                </c:pt>
                <c:pt idx="591">
                  <c:v>39986753960.715202</c:v>
                </c:pt>
                <c:pt idx="592">
                  <c:v>41012947068.710403</c:v>
                </c:pt>
                <c:pt idx="593">
                  <c:v>42017147686.591202</c:v>
                </c:pt>
                <c:pt idx="594">
                  <c:v>42805472484.875999</c:v>
                </c:pt>
                <c:pt idx="595">
                  <c:v>43092418751.231499</c:v>
                </c:pt>
                <c:pt idx="596">
                  <c:v>43229956491.269096</c:v>
                </c:pt>
                <c:pt idx="597">
                  <c:v>44178413953.294098</c:v>
                </c:pt>
                <c:pt idx="598">
                  <c:v>45320381686.271896</c:v>
                </c:pt>
                <c:pt idx="599">
                  <c:v>46200111175.863998</c:v>
                </c:pt>
                <c:pt idx="600">
                  <c:v>48372338217.660004</c:v>
                </c:pt>
                <c:pt idx="601">
                  <c:v>50158869169.382004</c:v>
                </c:pt>
                <c:pt idx="602">
                  <c:v>51514749240.931999</c:v>
                </c:pt>
                <c:pt idx="603">
                  <c:v>50396495303.592003</c:v>
                </c:pt>
                <c:pt idx="604">
                  <c:v>47826443440.527817</c:v>
                </c:pt>
                <c:pt idx="605">
                  <c:v>45382957113.400299</c:v>
                </c:pt>
                <c:pt idx="606">
                  <c:v>43621954797.589401</c:v>
                </c:pt>
                <c:pt idx="607">
                  <c:v>41118107063.656998</c:v>
                </c:pt>
                <c:pt idx="608">
                  <c:v>40527120075.851601</c:v>
                </c:pt>
                <c:pt idx="609">
                  <c:v>40158821976.506958</c:v>
                </c:pt>
                <c:pt idx="610">
                  <c:v>41188726415.761559</c:v>
                </c:pt>
                <c:pt idx="611">
                  <c:v>41824672486.415993</c:v>
                </c:pt>
                <c:pt idx="612">
                  <c:v>41938411047.775742</c:v>
                </c:pt>
                <c:pt idx="613">
                  <c:v>42118492944.172844</c:v>
                </c:pt>
                <c:pt idx="614">
                  <c:v>43427134736.447014</c:v>
                </c:pt>
                <c:pt idx="615">
                  <c:v>43453355305.521088</c:v>
                </c:pt>
                <c:pt idx="616">
                  <c:v>42063261164.438713</c:v>
                </c:pt>
                <c:pt idx="617">
                  <c:v>39925680319.596733</c:v>
                </c:pt>
                <c:pt idx="618">
                  <c:v>39592511706.373985</c:v>
                </c:pt>
                <c:pt idx="619">
                  <c:v>40723961372.644844</c:v>
                </c:pt>
                <c:pt idx="620">
                  <c:v>39265549320.327698</c:v>
                </c:pt>
                <c:pt idx="621">
                  <c:v>40073658871.859581</c:v>
                </c:pt>
                <c:pt idx="622">
                  <c:v>41165143316.761703</c:v>
                </c:pt>
                <c:pt idx="623">
                  <c:v>41234149708.716576</c:v>
                </c:pt>
                <c:pt idx="624">
                  <c:v>38993767897.715286</c:v>
                </c:pt>
                <c:pt idx="625">
                  <c:v>38498666697</c:v>
                </c:pt>
                <c:pt idx="626">
                  <c:v>37000870241.380112</c:v>
                </c:pt>
                <c:pt idx="627">
                  <c:v>37213876205.420792</c:v>
                </c:pt>
                <c:pt idx="628">
                  <c:v>38184295334.319229</c:v>
                </c:pt>
                <c:pt idx="629">
                  <c:v>37943895824.249779</c:v>
                </c:pt>
                <c:pt idx="630">
                  <c:v>36439335394.645454</c:v>
                </c:pt>
                <c:pt idx="631">
                  <c:v>36998303533.041557</c:v>
                </c:pt>
                <c:pt idx="632">
                  <c:v>36534097816.689148</c:v>
                </c:pt>
                <c:pt idx="633">
                  <c:v>37783542301.526802</c:v>
                </c:pt>
                <c:pt idx="634">
                  <c:v>38475284595.318558</c:v>
                </c:pt>
                <c:pt idx="635">
                  <c:v>39392673935.670082</c:v>
                </c:pt>
                <c:pt idx="636">
                  <c:v>39488727623.540802</c:v>
                </c:pt>
                <c:pt idx="637">
                  <c:v>39479238475.285721</c:v>
                </c:pt>
                <c:pt idx="638">
                  <c:v>39733658266.742203</c:v>
                </c:pt>
                <c:pt idx="639">
                  <c:v>40371889102.44828</c:v>
                </c:pt>
                <c:pt idx="640">
                  <c:v>40912541846.830162</c:v>
                </c:pt>
                <c:pt idx="641">
                  <c:v>41833455035.650726</c:v>
                </c:pt>
                <c:pt idx="642">
                  <c:v>41781896731.058403</c:v>
                </c:pt>
                <c:pt idx="643">
                  <c:v>40755833496.746407</c:v>
                </c:pt>
                <c:pt idx="644">
                  <c:v>40148144299.992798</c:v>
                </c:pt>
                <c:pt idx="645">
                  <c:v>39424582540.56321</c:v>
                </c:pt>
                <c:pt idx="646">
                  <c:v>38726716852.090408</c:v>
                </c:pt>
                <c:pt idx="647">
                  <c:v>37364919623.544792</c:v>
                </c:pt>
                <c:pt idx="648">
                  <c:v>36363335787.564796</c:v>
                </c:pt>
                <c:pt idx="649">
                  <c:v>36525272202.423203</c:v>
                </c:pt>
                <c:pt idx="650">
                  <c:v>35480005448.145599</c:v>
                </c:pt>
                <c:pt idx="651">
                  <c:v>34403935059.280792</c:v>
                </c:pt>
                <c:pt idx="652">
                  <c:v>35144201300.193596</c:v>
                </c:pt>
                <c:pt idx="653">
                  <c:v>35480739247.794395</c:v>
                </c:pt>
                <c:pt idx="654">
                  <c:v>34319919208.865273</c:v>
                </c:pt>
                <c:pt idx="655">
                  <c:v>34003618900</c:v>
                </c:pt>
                <c:pt idx="656">
                  <c:v>34713589186.024956</c:v>
                </c:pt>
                <c:pt idx="657">
                  <c:v>34646617419.545959</c:v>
                </c:pt>
                <c:pt idx="658">
                  <c:v>34773750794.627319</c:v>
                </c:pt>
                <c:pt idx="659">
                  <c:v>34762009561.204407</c:v>
                </c:pt>
                <c:pt idx="660">
                  <c:v>33176996612.101925</c:v>
                </c:pt>
                <c:pt idx="661">
                  <c:v>33062589130.53717</c:v>
                </c:pt>
                <c:pt idx="662">
                  <c:v>33890708190.613743</c:v>
                </c:pt>
                <c:pt idx="663">
                  <c:v>35014595840.950737</c:v>
                </c:pt>
                <c:pt idx="664">
                  <c:v>34448036197.525047</c:v>
                </c:pt>
                <c:pt idx="665">
                  <c:v>34607873155.041786</c:v>
                </c:pt>
                <c:pt idx="666">
                  <c:v>33833238180.724983</c:v>
                </c:pt>
                <c:pt idx="667">
                  <c:v>34422929927.972618</c:v>
                </c:pt>
                <c:pt idx="668">
                  <c:v>32644406003.473083</c:v>
                </c:pt>
                <c:pt idx="669">
                  <c:v>32138622266.086773</c:v>
                </c:pt>
                <c:pt idx="670">
                  <c:v>32185570304.473259</c:v>
                </c:pt>
                <c:pt idx="671">
                  <c:v>30889500215.027756</c:v>
                </c:pt>
                <c:pt idx="672">
                  <c:v>30847671893.974598</c:v>
                </c:pt>
                <c:pt idx="673">
                  <c:v>29930994473.899166</c:v>
                </c:pt>
                <c:pt idx="674">
                  <c:v>29686182763.917629</c:v>
                </c:pt>
                <c:pt idx="675">
                  <c:v>30035260317.289642</c:v>
                </c:pt>
                <c:pt idx="676">
                  <c:v>28712737540.779457</c:v>
                </c:pt>
                <c:pt idx="677">
                  <c:v>29342532332.985714</c:v>
                </c:pt>
                <c:pt idx="678">
                  <c:v>30718328177.670452</c:v>
                </c:pt>
                <c:pt idx="679">
                  <c:v>32243917649.741043</c:v>
                </c:pt>
                <c:pt idx="680">
                  <c:v>32707084580.650032</c:v>
                </c:pt>
                <c:pt idx="681">
                  <c:v>32516440505.015026</c:v>
                </c:pt>
                <c:pt idx="682">
                  <c:v>33041577545.565834</c:v>
                </c:pt>
                <c:pt idx="683">
                  <c:v>33361826168.512016</c:v>
                </c:pt>
                <c:pt idx="684">
                  <c:v>32908178204.200443</c:v>
                </c:pt>
                <c:pt idx="685">
                  <c:v>33304253698.456062</c:v>
                </c:pt>
                <c:pt idx="686">
                  <c:v>33822379165.14183</c:v>
                </c:pt>
                <c:pt idx="687">
                  <c:v>32405661998.861919</c:v>
                </c:pt>
                <c:pt idx="688">
                  <c:v>31612070686.936577</c:v>
                </c:pt>
                <c:pt idx="689">
                  <c:v>31505649709.35569</c:v>
                </c:pt>
                <c:pt idx="690">
                  <c:v>31765489667.117157</c:v>
                </c:pt>
                <c:pt idx="691">
                  <c:v>31766181569.420723</c:v>
                </c:pt>
                <c:pt idx="692">
                  <c:v>33116119039.953827</c:v>
                </c:pt>
                <c:pt idx="693">
                  <c:v>34070178745.653679</c:v>
                </c:pt>
                <c:pt idx="694">
                  <c:v>34002555987.321552</c:v>
                </c:pt>
                <c:pt idx="695">
                  <c:v>33422481149.005016</c:v>
                </c:pt>
                <c:pt idx="696">
                  <c:v>33275674424.653633</c:v>
                </c:pt>
                <c:pt idx="697">
                  <c:v>32900685235.655098</c:v>
                </c:pt>
                <c:pt idx="698">
                  <c:v>33135502205.164963</c:v>
                </c:pt>
                <c:pt idx="699">
                  <c:v>33346214554.488022</c:v>
                </c:pt>
                <c:pt idx="700">
                  <c:v>32770290646.004795</c:v>
                </c:pt>
                <c:pt idx="701">
                  <c:v>32342692876.620132</c:v>
                </c:pt>
                <c:pt idx="702">
                  <c:v>32514587305.774509</c:v>
                </c:pt>
                <c:pt idx="703">
                  <c:v>33002273646.617599</c:v>
                </c:pt>
                <c:pt idx="704">
                  <c:v>32722795950.326939</c:v>
                </c:pt>
                <c:pt idx="705">
                  <c:v>30987887662.631638</c:v>
                </c:pt>
                <c:pt idx="706">
                  <c:v>30001798071.061134</c:v>
                </c:pt>
                <c:pt idx="707">
                  <c:v>30166647087.488434</c:v>
                </c:pt>
                <c:pt idx="708">
                  <c:v>30289016460.034988</c:v>
                </c:pt>
                <c:pt idx="709">
                  <c:v>29065864585.713398</c:v>
                </c:pt>
                <c:pt idx="710">
                  <c:v>28516041903.864979</c:v>
                </c:pt>
                <c:pt idx="711">
                  <c:v>29548492415.104549</c:v>
                </c:pt>
                <c:pt idx="712">
                  <c:v>29655092716.71027</c:v>
                </c:pt>
                <c:pt idx="713">
                  <c:v>28578630822.774189</c:v>
                </c:pt>
                <c:pt idx="714">
                  <c:v>29263966593.592892</c:v>
                </c:pt>
                <c:pt idx="715">
                  <c:v>29882849809.469704</c:v>
                </c:pt>
                <c:pt idx="716">
                  <c:v>29597809786.797802</c:v>
                </c:pt>
                <c:pt idx="717">
                  <c:v>28668965009.869324</c:v>
                </c:pt>
                <c:pt idx="718">
                  <c:v>28723081997.959358</c:v>
                </c:pt>
                <c:pt idx="719">
                  <c:v>27294663235.228466</c:v>
                </c:pt>
                <c:pt idx="720">
                  <c:v>27869836715.958824</c:v>
                </c:pt>
                <c:pt idx="721">
                  <c:v>28774691974.756081</c:v>
                </c:pt>
                <c:pt idx="722">
                  <c:v>28803212811.089977</c:v>
                </c:pt>
                <c:pt idx="723">
                  <c:v>27670714370.781616</c:v>
                </c:pt>
                <c:pt idx="724">
                  <c:v>28613859756.850735</c:v>
                </c:pt>
                <c:pt idx="725">
                  <c:v>28760024268.883335</c:v>
                </c:pt>
                <c:pt idx="726">
                  <c:v>29196688410.471039</c:v>
                </c:pt>
                <c:pt idx="727">
                  <c:v>30174783492.550461</c:v>
                </c:pt>
                <c:pt idx="728">
                  <c:v>30359398719.648239</c:v>
                </c:pt>
                <c:pt idx="729">
                  <c:v>30228549616.888603</c:v>
                </c:pt>
                <c:pt idx="730">
                  <c:v>30476382454.408821</c:v>
                </c:pt>
                <c:pt idx="731">
                  <c:v>30921716299.632893</c:v>
                </c:pt>
                <c:pt idx="732">
                  <c:v>30327007063.535671</c:v>
                </c:pt>
                <c:pt idx="733">
                  <c:v>30268462129.517258</c:v>
                </c:pt>
                <c:pt idx="734">
                  <c:v>30016654505.925903</c:v>
                </c:pt>
                <c:pt idx="735">
                  <c:v>30054980470.860405</c:v>
                </c:pt>
                <c:pt idx="736">
                  <c:v>29689161623.585564</c:v>
                </c:pt>
                <c:pt idx="737">
                  <c:v>30097144958.806767</c:v>
                </c:pt>
                <c:pt idx="738">
                  <c:v>30559521116.717472</c:v>
                </c:pt>
                <c:pt idx="739">
                  <c:v>31442696607.205906</c:v>
                </c:pt>
                <c:pt idx="740">
                  <c:v>31638253677.319229</c:v>
                </c:pt>
                <c:pt idx="741">
                  <c:v>31862491072.772079</c:v>
                </c:pt>
                <c:pt idx="742">
                  <c:v>31711584526.333393</c:v>
                </c:pt>
                <c:pt idx="743">
                  <c:v>32165976045.953262</c:v>
                </c:pt>
                <c:pt idx="744">
                  <c:v>32719862251.701935</c:v>
                </c:pt>
                <c:pt idx="745">
                  <c:v>33278995331.447948</c:v>
                </c:pt>
                <c:pt idx="746">
                  <c:v>33452006951.96323</c:v>
                </c:pt>
                <c:pt idx="747">
                  <c:v>33375443755.842793</c:v>
                </c:pt>
                <c:pt idx="748">
                  <c:v>33117313736.431145</c:v>
                </c:pt>
                <c:pt idx="749">
                  <c:v>33248210693.341705</c:v>
                </c:pt>
                <c:pt idx="750">
                  <c:v>33152191016.230335</c:v>
                </c:pt>
                <c:pt idx="751">
                  <c:v>33268574169.18803</c:v>
                </c:pt>
                <c:pt idx="752">
                  <c:v>33372280265.571949</c:v>
                </c:pt>
                <c:pt idx="753">
                  <c:v>33608023738.993652</c:v>
                </c:pt>
                <c:pt idx="754">
                  <c:v>33507112475.585835</c:v>
                </c:pt>
                <c:pt idx="755">
                  <c:v>34169499900</c:v>
                </c:pt>
                <c:pt idx="756">
                  <c:v>34137386738</c:v>
                </c:pt>
                <c:pt idx="757">
                  <c:v>33631034541</c:v>
                </c:pt>
                <c:pt idx="758">
                  <c:v>33626302694.581955</c:v>
                </c:pt>
                <c:pt idx="759">
                  <c:v>33228327252.127586</c:v>
                </c:pt>
                <c:pt idx="760">
                  <c:v>32822376791.250072</c:v>
                </c:pt>
                <c:pt idx="761">
                  <c:v>32082888242.132221</c:v>
                </c:pt>
                <c:pt idx="762">
                  <c:v>32208455565.312782</c:v>
                </c:pt>
                <c:pt idx="763">
                  <c:v>32835182812.865971</c:v>
                </c:pt>
                <c:pt idx="764">
                  <c:v>32743384408.360111</c:v>
                </c:pt>
                <c:pt idx="765">
                  <c:v>32345316408.356129</c:v>
                </c:pt>
                <c:pt idx="766">
                  <c:v>32443778302.976234</c:v>
                </c:pt>
                <c:pt idx="767">
                  <c:v>32445596450.659195</c:v>
                </c:pt>
                <c:pt idx="768">
                  <c:v>32528014103.292202</c:v>
                </c:pt>
                <c:pt idx="769">
                  <c:v>32885351426.558167</c:v>
                </c:pt>
                <c:pt idx="770">
                  <c:v>32579250919.138847</c:v>
                </c:pt>
                <c:pt idx="771">
                  <c:v>32282335901.120926</c:v>
                </c:pt>
                <c:pt idx="772">
                  <c:v>32744049192.109653</c:v>
                </c:pt>
                <c:pt idx="773">
                  <c:v>32928877535.379917</c:v>
                </c:pt>
                <c:pt idx="774">
                  <c:v>33241639914.511848</c:v>
                </c:pt>
                <c:pt idx="775">
                  <c:v>32800315343.481186</c:v>
                </c:pt>
                <c:pt idx="776">
                  <c:v>32525310813.864658</c:v>
                </c:pt>
                <c:pt idx="777">
                  <c:v>32680550618.945747</c:v>
                </c:pt>
                <c:pt idx="778">
                  <c:v>31677053489.617546</c:v>
                </c:pt>
                <c:pt idx="779">
                  <c:v>31042795230.087563</c:v>
                </c:pt>
                <c:pt idx="780">
                  <c:v>30965593896.377602</c:v>
                </c:pt>
                <c:pt idx="781">
                  <c:v>29814699575.21312</c:v>
                </c:pt>
                <c:pt idx="782">
                  <c:v>30089323389.839314</c:v>
                </c:pt>
                <c:pt idx="783">
                  <c:v>30596731644.629284</c:v>
                </c:pt>
                <c:pt idx="784">
                  <c:v>31207517248.092175</c:v>
                </c:pt>
                <c:pt idx="785">
                  <c:v>30823461295.140053</c:v>
                </c:pt>
                <c:pt idx="786">
                  <c:v>30263912872.143867</c:v>
                </c:pt>
                <c:pt idx="787">
                  <c:v>30284811402.710304</c:v>
                </c:pt>
                <c:pt idx="788">
                  <c:v>30969703769.345631</c:v>
                </c:pt>
                <c:pt idx="789">
                  <c:v>30917988344.604713</c:v>
                </c:pt>
                <c:pt idx="790">
                  <c:v>31190811599.337612</c:v>
                </c:pt>
                <c:pt idx="791">
                  <c:v>31317431650.976635</c:v>
                </c:pt>
                <c:pt idx="792">
                  <c:v>31272515180.512711</c:v>
                </c:pt>
                <c:pt idx="793">
                  <c:v>31079175248.885441</c:v>
                </c:pt>
                <c:pt idx="794">
                  <c:v>30742155194.143234</c:v>
                </c:pt>
                <c:pt idx="795">
                  <c:v>30659954592.21814</c:v>
                </c:pt>
                <c:pt idx="796">
                  <c:v>30223706918.399136</c:v>
                </c:pt>
                <c:pt idx="797">
                  <c:v>29982898620.283497</c:v>
                </c:pt>
                <c:pt idx="798">
                  <c:v>30186598928.43774</c:v>
                </c:pt>
                <c:pt idx="799">
                  <c:v>30842693685.609501</c:v>
                </c:pt>
                <c:pt idx="800">
                  <c:v>30960390248.8111</c:v>
                </c:pt>
                <c:pt idx="801">
                  <c:v>30831553087.414501</c:v>
                </c:pt>
                <c:pt idx="802">
                  <c:v>30622444504.639172</c:v>
                </c:pt>
                <c:pt idx="803">
                  <c:v>30033243316.233498</c:v>
                </c:pt>
                <c:pt idx="804">
                  <c:v>29928127045.402958</c:v>
                </c:pt>
                <c:pt idx="805">
                  <c:v>30368155506.781834</c:v>
                </c:pt>
                <c:pt idx="806">
                  <c:v>31498089490.851685</c:v>
                </c:pt>
                <c:pt idx="807">
                  <c:v>32333140306.513378</c:v>
                </c:pt>
                <c:pt idx="808">
                  <c:v>31660550934.275211</c:v>
                </c:pt>
                <c:pt idx="809">
                  <c:v>32157502045.152313</c:v>
                </c:pt>
                <c:pt idx="810">
                  <c:v>32680348801.02631</c:v>
                </c:pt>
                <c:pt idx="811">
                  <c:v>33340353212.800388</c:v>
                </c:pt>
                <c:pt idx="812">
                  <c:v>32928528358.253063</c:v>
                </c:pt>
                <c:pt idx="813">
                  <c:v>33430001697.268784</c:v>
                </c:pt>
                <c:pt idx="814">
                  <c:v>34072994984.852741</c:v>
                </c:pt>
                <c:pt idx="815">
                  <c:v>33635372932.798717</c:v>
                </c:pt>
                <c:pt idx="816">
                  <c:v>33364191912.058815</c:v>
                </c:pt>
                <c:pt idx="817">
                  <c:v>33524528357.054031</c:v>
                </c:pt>
                <c:pt idx="818">
                  <c:v>34674815542.307899</c:v>
                </c:pt>
                <c:pt idx="819">
                  <c:v>35836454339.548042</c:v>
                </c:pt>
                <c:pt idx="820">
                  <c:v>36115149544.597939</c:v>
                </c:pt>
                <c:pt idx="821">
                  <c:v>35694997449.052101</c:v>
                </c:pt>
                <c:pt idx="822">
                  <c:v>35926974993.127831</c:v>
                </c:pt>
                <c:pt idx="823">
                  <c:v>35556031116.730904</c:v>
                </c:pt>
                <c:pt idx="824">
                  <c:v>34515346829.752602</c:v>
                </c:pt>
                <c:pt idx="825">
                  <c:v>34219607885.458286</c:v>
                </c:pt>
                <c:pt idx="826">
                  <c:v>33204875073.351772</c:v>
                </c:pt>
                <c:pt idx="827">
                  <c:v>31080420343.212601</c:v>
                </c:pt>
                <c:pt idx="828">
                  <c:v>31962973190.454288</c:v>
                </c:pt>
                <c:pt idx="829">
                  <c:v>31835283997.888893</c:v>
                </c:pt>
                <c:pt idx="830">
                  <c:v>27421114234.988312</c:v>
                </c:pt>
                <c:pt idx="831">
                  <c:v>27235157671.541836</c:v>
                </c:pt>
                <c:pt idx="832">
                  <c:v>22405277885.726257</c:v>
                </c:pt>
                <c:pt idx="833">
                  <c:v>22323422787.136734</c:v>
                </c:pt>
                <c:pt idx="834">
                  <c:v>22443699392.571804</c:v>
                </c:pt>
                <c:pt idx="835">
                  <c:v>23284271756.320824</c:v>
                </c:pt>
                <c:pt idx="836">
                  <c:v>23614201254.661449</c:v>
                </c:pt>
                <c:pt idx="837">
                  <c:v>23735252570.104176</c:v>
                </c:pt>
                <c:pt idx="838">
                  <c:v>24231160569.989643</c:v>
                </c:pt>
                <c:pt idx="839">
                  <c:v>24339067605.109142</c:v>
                </c:pt>
                <c:pt idx="840">
                  <c:v>24132879146.446098</c:v>
                </c:pt>
                <c:pt idx="841">
                  <c:v>23512284845.238716</c:v>
                </c:pt>
                <c:pt idx="842">
                  <c:v>23388039838.802082</c:v>
                </c:pt>
                <c:pt idx="843">
                  <c:v>23126444318.725437</c:v>
                </c:pt>
                <c:pt idx="844">
                  <c:v>23454092185.519825</c:v>
                </c:pt>
                <c:pt idx="845">
                  <c:v>23308876540.95676</c:v>
                </c:pt>
                <c:pt idx="846">
                  <c:v>22807649464.792412</c:v>
                </c:pt>
                <c:pt idx="847">
                  <c:v>22295454495.631992</c:v>
                </c:pt>
                <c:pt idx="848">
                  <c:v>22045873423.96629</c:v>
                </c:pt>
                <c:pt idx="849">
                  <c:v>22103247278.863499</c:v>
                </c:pt>
                <c:pt idx="850">
                  <c:v>21776634170.426872</c:v>
                </c:pt>
                <c:pt idx="851">
                  <c:v>21418031457.196918</c:v>
                </c:pt>
                <c:pt idx="852">
                  <c:v>21299226584.431847</c:v>
                </c:pt>
                <c:pt idx="853">
                  <c:v>21158867305.589897</c:v>
                </c:pt>
                <c:pt idx="854">
                  <c:v>21317452910.09742</c:v>
                </c:pt>
                <c:pt idx="855">
                  <c:v>20368296790.112846</c:v>
                </c:pt>
                <c:pt idx="856">
                  <c:v>20352525842.745136</c:v>
                </c:pt>
                <c:pt idx="857">
                  <c:v>20148084661.028992</c:v>
                </c:pt>
                <c:pt idx="858">
                  <c:v>19935469386.217144</c:v>
                </c:pt>
                <c:pt idx="859">
                  <c:v>19656517216.264984</c:v>
                </c:pt>
                <c:pt idx="860">
                  <c:v>19980492624.232273</c:v>
                </c:pt>
                <c:pt idx="861">
                  <c:v>20213994339.865746</c:v>
                </c:pt>
                <c:pt idx="862">
                  <c:v>20041549669.980011</c:v>
                </c:pt>
                <c:pt idx="863">
                  <c:v>19779648871.017056</c:v>
                </c:pt>
                <c:pt idx="864">
                  <c:v>19521247308.874458</c:v>
                </c:pt>
                <c:pt idx="865">
                  <c:v>19266844750.254086</c:v>
                </c:pt>
                <c:pt idx="866">
                  <c:v>19045999732.267818</c:v>
                </c:pt>
                <c:pt idx="867">
                  <c:v>20501438190.858471</c:v>
                </c:pt>
                <c:pt idx="868">
                  <c:v>20458664299.798023</c:v>
                </c:pt>
                <c:pt idx="869">
                  <c:v>20296287410.204052</c:v>
                </c:pt>
                <c:pt idx="870">
                  <c:v>20090968004.012577</c:v>
                </c:pt>
                <c:pt idx="871">
                  <c:v>19806368806.843704</c:v>
                </c:pt>
                <c:pt idx="872">
                  <c:v>19714489669.023384</c:v>
                </c:pt>
                <c:pt idx="873">
                  <c:v>19536281863.779182</c:v>
                </c:pt>
                <c:pt idx="874">
                  <c:v>19625285539.714474</c:v>
                </c:pt>
                <c:pt idx="875">
                  <c:v>19464784113.606232</c:v>
                </c:pt>
                <c:pt idx="876">
                  <c:v>19687195345.959618</c:v>
                </c:pt>
                <c:pt idx="877">
                  <c:v>19955225882.976673</c:v>
                </c:pt>
                <c:pt idx="878">
                  <c:v>20318232601.869904</c:v>
                </c:pt>
                <c:pt idx="879">
                  <c:v>19641787233.816853</c:v>
                </c:pt>
                <c:pt idx="880">
                  <c:v>19608466272.749722</c:v>
                </c:pt>
                <c:pt idx="881">
                  <c:v>20006820310.078453</c:v>
                </c:pt>
                <c:pt idx="882">
                  <c:v>20163542136.993511</c:v>
                </c:pt>
                <c:pt idx="883">
                  <c:v>20809569267.160717</c:v>
                </c:pt>
                <c:pt idx="884">
                  <c:v>21498994522.960285</c:v>
                </c:pt>
                <c:pt idx="885">
                  <c:v>21529147961.382687</c:v>
                </c:pt>
                <c:pt idx="886">
                  <c:v>21330568904.515724</c:v>
                </c:pt>
                <c:pt idx="887">
                  <c:v>21158735253.860012</c:v>
                </c:pt>
                <c:pt idx="888">
                  <c:v>20687100941.068066</c:v>
                </c:pt>
                <c:pt idx="889">
                  <c:v>20725363895.350681</c:v>
                </c:pt>
                <c:pt idx="890">
                  <c:v>20937863741.066921</c:v>
                </c:pt>
                <c:pt idx="891">
                  <c:v>20817716490.476101</c:v>
                </c:pt>
                <c:pt idx="892">
                  <c:v>20440890127.739719</c:v>
                </c:pt>
                <c:pt idx="893">
                  <c:v>20112576224.765812</c:v>
                </c:pt>
                <c:pt idx="894">
                  <c:v>20764600476.761124</c:v>
                </c:pt>
                <c:pt idx="895">
                  <c:v>20623709604.531643</c:v>
                </c:pt>
                <c:pt idx="896">
                  <c:v>20656150592.584457</c:v>
                </c:pt>
                <c:pt idx="897">
                  <c:v>20702156329.4772</c:v>
                </c:pt>
                <c:pt idx="898">
                  <c:v>20794344831.477203</c:v>
                </c:pt>
                <c:pt idx="899">
                  <c:v>21013854936.965725</c:v>
                </c:pt>
                <c:pt idx="900">
                  <c:v>21023061067.866024</c:v>
                </c:pt>
                <c:pt idx="901">
                  <c:v>20947656808.288372</c:v>
                </c:pt>
                <c:pt idx="902">
                  <c:v>20911509200.480316</c:v>
                </c:pt>
                <c:pt idx="903">
                  <c:v>20668665658.419235</c:v>
                </c:pt>
                <c:pt idx="904">
                  <c:v>20464640870.267437</c:v>
                </c:pt>
                <c:pt idx="905">
                  <c:v>20414332512.948223</c:v>
                </c:pt>
                <c:pt idx="906">
                  <c:v>20150503388.192902</c:v>
                </c:pt>
                <c:pt idx="907">
                  <c:v>20044965298.456303</c:v>
                </c:pt>
                <c:pt idx="908">
                  <c:v>19811277129.111378</c:v>
                </c:pt>
                <c:pt idx="909">
                  <c:v>19787063128.335815</c:v>
                </c:pt>
                <c:pt idx="910">
                  <c:v>20907190121.912975</c:v>
                </c:pt>
                <c:pt idx="911">
                  <c:v>21122292065.90427</c:v>
                </c:pt>
                <c:pt idx="912">
                  <c:v>21458243253.405651</c:v>
                </c:pt>
                <c:pt idx="913">
                  <c:v>21805681023.351017</c:v>
                </c:pt>
                <c:pt idx="914">
                  <c:v>22653064279.412926</c:v>
                </c:pt>
                <c:pt idx="915">
                  <c:v>23131578786.589817</c:v>
                </c:pt>
                <c:pt idx="916">
                  <c:v>23428371129.776279</c:v>
                </c:pt>
                <c:pt idx="917">
                  <c:v>23281746622.177319</c:v>
                </c:pt>
                <c:pt idx="918">
                  <c:v>23675703122.343723</c:v>
                </c:pt>
                <c:pt idx="919">
                  <c:v>24303071343.750698</c:v>
                </c:pt>
                <c:pt idx="920">
                  <c:v>24524350507.271297</c:v>
                </c:pt>
                <c:pt idx="921">
                  <c:v>24838958929.05386</c:v>
                </c:pt>
                <c:pt idx="922">
                  <c:v>24857609326.430634</c:v>
                </c:pt>
                <c:pt idx="923">
                  <c:v>25141499395.024548</c:v>
                </c:pt>
                <c:pt idx="924">
                  <c:v>25444386217.586948</c:v>
                </c:pt>
                <c:pt idx="925">
                  <c:v>25819032474.991379</c:v>
                </c:pt>
                <c:pt idx="926">
                  <c:v>25920506396.847206</c:v>
                </c:pt>
                <c:pt idx="927">
                  <c:v>25665564233.865879</c:v>
                </c:pt>
                <c:pt idx="928">
                  <c:v>25670476440.679108</c:v>
                </c:pt>
                <c:pt idx="929">
                  <c:v>25572343858.13224</c:v>
                </c:pt>
                <c:pt idx="930">
                  <c:v>25364459180.182709</c:v>
                </c:pt>
                <c:pt idx="931">
                  <c:v>25859440229.676037</c:v>
                </c:pt>
                <c:pt idx="932">
                  <c:v>26195793332.561539</c:v>
                </c:pt>
                <c:pt idx="933">
                  <c:v>25911562230.194134</c:v>
                </c:pt>
                <c:pt idx="934">
                  <c:v>26552893389.605644</c:v>
                </c:pt>
                <c:pt idx="935">
                  <c:v>25957477672.749744</c:v>
                </c:pt>
                <c:pt idx="936">
                  <c:v>25972394946.030777</c:v>
                </c:pt>
                <c:pt idx="937">
                  <c:v>26179993772.082661</c:v>
                </c:pt>
                <c:pt idx="938">
                  <c:v>26209380746.129101</c:v>
                </c:pt>
                <c:pt idx="939">
                  <c:v>26463520095.763741</c:v>
                </c:pt>
                <c:pt idx="940">
                  <c:v>26999716432.5019</c:v>
                </c:pt>
                <c:pt idx="941">
                  <c:v>27514742268.316574</c:v>
                </c:pt>
                <c:pt idx="942">
                  <c:v>27936766813.034771</c:v>
                </c:pt>
                <c:pt idx="943">
                  <c:v>29421715942.173805</c:v>
                </c:pt>
                <c:pt idx="944">
                  <c:v>30341023730.6749</c:v>
                </c:pt>
                <c:pt idx="945">
                  <c:v>33117020740.506401</c:v>
                </c:pt>
                <c:pt idx="946">
                  <c:v>32816803976</c:v>
                </c:pt>
                <c:pt idx="947">
                  <c:v>32757119877.141102</c:v>
                </c:pt>
                <c:pt idx="948">
                  <c:v>36971488182.33593</c:v>
                </c:pt>
                <c:pt idx="949">
                  <c:v>40261469854.075897</c:v>
                </c:pt>
                <c:pt idx="950">
                  <c:v>41224488622.870621</c:v>
                </c:pt>
                <c:pt idx="951">
                  <c:v>42866502815.795746</c:v>
                </c:pt>
                <c:pt idx="952">
                  <c:v>42630382504.472183</c:v>
                </c:pt>
                <c:pt idx="953">
                  <c:v>43242980248.578049</c:v>
                </c:pt>
                <c:pt idx="954">
                  <c:v>44579146906.381294</c:v>
                </c:pt>
                <c:pt idx="955">
                  <c:v>44028123539.923233</c:v>
                </c:pt>
                <c:pt idx="956">
                  <c:v>44803254137.354935</c:v>
                </c:pt>
                <c:pt idx="957">
                  <c:v>44639466835.340294</c:v>
                </c:pt>
                <c:pt idx="958">
                  <c:v>45265755201.742393</c:v>
                </c:pt>
                <c:pt idx="959">
                  <c:v>45412742915.031227</c:v>
                </c:pt>
                <c:pt idx="960">
                  <c:v>45423747457.877426</c:v>
                </c:pt>
                <c:pt idx="961">
                  <c:v>46090916669.18074</c:v>
                </c:pt>
                <c:pt idx="962">
                  <c:v>46191236363.200996</c:v>
                </c:pt>
                <c:pt idx="963">
                  <c:v>46203494108.567299</c:v>
                </c:pt>
                <c:pt idx="964">
                  <c:v>46293187012.071098</c:v>
                </c:pt>
                <c:pt idx="965">
                  <c:v>45962592649.772057</c:v>
                </c:pt>
                <c:pt idx="966">
                  <c:v>45461965086.911697</c:v>
                </c:pt>
                <c:pt idx="967">
                  <c:v>46306810636.8405</c:v>
                </c:pt>
                <c:pt idx="968">
                  <c:v>47466499324.706001</c:v>
                </c:pt>
                <c:pt idx="969">
                  <c:v>47884968834.278038</c:v>
                </c:pt>
                <c:pt idx="970">
                  <c:v>48717678922.924774</c:v>
                </c:pt>
                <c:pt idx="971">
                  <c:v>48666543108.367203</c:v>
                </c:pt>
                <c:pt idx="972">
                  <c:v>48949301503.708504</c:v>
                </c:pt>
                <c:pt idx="973">
                  <c:v>49115240756.415802</c:v>
                </c:pt>
                <c:pt idx="974">
                  <c:v>49142403734.777802</c:v>
                </c:pt>
                <c:pt idx="975">
                  <c:v>49805126089.373802</c:v>
                </c:pt>
                <c:pt idx="976">
                  <c:v>50616919137.157097</c:v>
                </c:pt>
                <c:pt idx="977">
                  <c:v>52213923734.094002</c:v>
                </c:pt>
                <c:pt idx="978">
                  <c:v>52571567252.051201</c:v>
                </c:pt>
                <c:pt idx="979">
                  <c:v>53417247155.835251</c:v>
                </c:pt>
                <c:pt idx="980">
                  <c:v>53262237439.396599</c:v>
                </c:pt>
                <c:pt idx="981">
                  <c:v>52406358079.692703</c:v>
                </c:pt>
                <c:pt idx="982">
                  <c:v>53730887052.256798</c:v>
                </c:pt>
                <c:pt idx="983">
                  <c:v>55201433198.733498</c:v>
                </c:pt>
                <c:pt idx="984">
                  <c:v>55370415414.678001</c:v>
                </c:pt>
                <c:pt idx="985">
                  <c:v>55559007182.072304</c:v>
                </c:pt>
                <c:pt idx="986">
                  <c:v>54598572923.7323</c:v>
                </c:pt>
                <c:pt idx="987">
                  <c:v>56111318272.252296</c:v>
                </c:pt>
                <c:pt idx="988">
                  <c:v>56457321984.4505</c:v>
                </c:pt>
                <c:pt idx="989">
                  <c:v>57018583673.804802</c:v>
                </c:pt>
                <c:pt idx="990">
                  <c:v>58362688081.571999</c:v>
                </c:pt>
                <c:pt idx="991">
                  <c:v>60403330957.659698</c:v>
                </c:pt>
                <c:pt idx="992">
                  <c:v>61890219267.181</c:v>
                </c:pt>
                <c:pt idx="993">
                  <c:v>64168803955.2733</c:v>
                </c:pt>
                <c:pt idx="994">
                  <c:v>64382766160.478157</c:v>
                </c:pt>
                <c:pt idx="995">
                  <c:v>60914222717.793076</c:v>
                </c:pt>
                <c:pt idx="996">
                  <c:v>62217235194.05452</c:v>
                </c:pt>
                <c:pt idx="997">
                  <c:v>60832033738.356697</c:v>
                </c:pt>
                <c:pt idx="998">
                  <c:v>61901130293.633598</c:v>
                </c:pt>
                <c:pt idx="999">
                  <c:v>64095488097.284599</c:v>
                </c:pt>
                <c:pt idx="1000">
                  <c:v>66215790386.673897</c:v>
                </c:pt>
                <c:pt idx="1001">
                  <c:v>65233068866.681259</c:v>
                </c:pt>
                <c:pt idx="1002">
                  <c:v>61639307233.574059</c:v>
                </c:pt>
                <c:pt idx="1003">
                  <c:v>63254486730.540878</c:v>
                </c:pt>
                <c:pt idx="1004">
                  <c:v>63624449246.302193</c:v>
                </c:pt>
                <c:pt idx="1005">
                  <c:v>62963291790.159889</c:v>
                </c:pt>
                <c:pt idx="1006">
                  <c:v>62429308829.755859</c:v>
                </c:pt>
                <c:pt idx="1007">
                  <c:v>62479056963.057274</c:v>
                </c:pt>
                <c:pt idx="1008">
                  <c:v>63032187780.558678</c:v>
                </c:pt>
                <c:pt idx="1009">
                  <c:v>64037394658.544632</c:v>
                </c:pt>
                <c:pt idx="1010">
                  <c:v>66379436429.413696</c:v>
                </c:pt>
                <c:pt idx="1011">
                  <c:v>67716691788.992996</c:v>
                </c:pt>
                <c:pt idx="1012">
                  <c:v>67125613600.372086</c:v>
                </c:pt>
                <c:pt idx="1013">
                  <c:v>67802256239.249214</c:v>
                </c:pt>
                <c:pt idx="1014">
                  <c:v>69453141332.857742</c:v>
                </c:pt>
                <c:pt idx="1015">
                  <c:v>70677271823.361526</c:v>
                </c:pt>
                <c:pt idx="1016">
                  <c:v>69136595481.083908</c:v>
                </c:pt>
                <c:pt idx="1017">
                  <c:v>67738055260.14257</c:v>
                </c:pt>
                <c:pt idx="1018">
                  <c:v>65344366722.233635</c:v>
                </c:pt>
                <c:pt idx="1019">
                  <c:v>67039531613.394363</c:v>
                </c:pt>
                <c:pt idx="1020">
                  <c:v>67459684847.467796</c:v>
                </c:pt>
                <c:pt idx="1021">
                  <c:v>68601369168.352425</c:v>
                </c:pt>
                <c:pt idx="1022">
                  <c:v>69043647527.858505</c:v>
                </c:pt>
                <c:pt idx="1023">
                  <c:v>69107998987.314377</c:v>
                </c:pt>
                <c:pt idx="1024">
                  <c:v>67705441986.300446</c:v>
                </c:pt>
                <c:pt idx="1025">
                  <c:v>68246171931.489799</c:v>
                </c:pt>
                <c:pt idx="1026">
                  <c:v>67909216166.337723</c:v>
                </c:pt>
                <c:pt idx="1027">
                  <c:v>68024401753.520943</c:v>
                </c:pt>
                <c:pt idx="1028">
                  <c:v>69278374227.425598</c:v>
                </c:pt>
                <c:pt idx="1029">
                  <c:v>69617300866.932495</c:v>
                </c:pt>
                <c:pt idx="1030">
                  <c:v>69648464724.299698</c:v>
                </c:pt>
                <c:pt idx="1031">
                  <c:v>69085901781.733536</c:v>
                </c:pt>
                <c:pt idx="1032">
                  <c:v>68524919388.417603</c:v>
                </c:pt>
                <c:pt idx="1033">
                  <c:v>68391045455.404816</c:v>
                </c:pt>
                <c:pt idx="1034">
                  <c:v>70722941605.232086</c:v>
                </c:pt>
                <c:pt idx="1035">
                  <c:v>73920435356.064819</c:v>
                </c:pt>
                <c:pt idx="1036">
                  <c:v>75564689302.312485</c:v>
                </c:pt>
                <c:pt idx="1037">
                  <c:v>74910227961.023605</c:v>
                </c:pt>
                <c:pt idx="1038">
                  <c:v>75673405156.12326</c:v>
                </c:pt>
                <c:pt idx="1039">
                  <c:v>76868461673.207779</c:v>
                </c:pt>
                <c:pt idx="1040">
                  <c:v>77361449471.243546</c:v>
                </c:pt>
                <c:pt idx="1041">
                  <c:v>78723766661.588943</c:v>
                </c:pt>
                <c:pt idx="1042">
                  <c:v>82224032081.481201</c:v>
                </c:pt>
                <c:pt idx="1043">
                  <c:v>82518393421.029999</c:v>
                </c:pt>
                <c:pt idx="1044">
                  <c:v>83182833693.590759</c:v>
                </c:pt>
                <c:pt idx="1045">
                  <c:v>82538992527.304001</c:v>
                </c:pt>
                <c:pt idx="1046">
                  <c:v>86726999230.183289</c:v>
                </c:pt>
                <c:pt idx="1047">
                  <c:v>85542837812.010956</c:v>
                </c:pt>
                <c:pt idx="1048">
                  <c:v>85866568572.92485</c:v>
                </c:pt>
                <c:pt idx="1049">
                  <c:v>86297426427.47113</c:v>
                </c:pt>
                <c:pt idx="1050">
                  <c:v>84280111817.642929</c:v>
                </c:pt>
                <c:pt idx="1051">
                  <c:v>84549263318.4608</c:v>
                </c:pt>
                <c:pt idx="1052">
                  <c:v>84131485266.071808</c:v>
                </c:pt>
                <c:pt idx="1053">
                  <c:v>83199833371.849213</c:v>
                </c:pt>
                <c:pt idx="1054">
                  <c:v>85307788243.533401</c:v>
                </c:pt>
                <c:pt idx="1055">
                  <c:v>84858477430.469009</c:v>
                </c:pt>
                <c:pt idx="1056">
                  <c:v>82850446291.263031</c:v>
                </c:pt>
                <c:pt idx="1057">
                  <c:v>81978880197.368362</c:v>
                </c:pt>
                <c:pt idx="1058">
                  <c:v>82936551718.79216</c:v>
                </c:pt>
                <c:pt idx="1059">
                  <c:v>83315917092.352463</c:v>
                </c:pt>
                <c:pt idx="1060">
                  <c:v>85288431814.104919</c:v>
                </c:pt>
                <c:pt idx="1061">
                  <c:v>85501977396.894287</c:v>
                </c:pt>
                <c:pt idx="1062">
                  <c:v>87509323164.648682</c:v>
                </c:pt>
                <c:pt idx="1063">
                  <c:v>89295911243.425797</c:v>
                </c:pt>
                <c:pt idx="1064">
                  <c:v>89385851222.068253</c:v>
                </c:pt>
                <c:pt idx="1065">
                  <c:v>89075064593.992203</c:v>
                </c:pt>
                <c:pt idx="1066">
                  <c:v>88451663599.227036</c:v>
                </c:pt>
                <c:pt idx="1067">
                  <c:v>88617714719.738022</c:v>
                </c:pt>
                <c:pt idx="1068">
                  <c:v>89683714775.207001</c:v>
                </c:pt>
                <c:pt idx="1069">
                  <c:v>91161506660.972168</c:v>
                </c:pt>
                <c:pt idx="1070">
                  <c:v>91301854953.65123</c:v>
                </c:pt>
                <c:pt idx="1071">
                  <c:v>91527352002.902786</c:v>
                </c:pt>
                <c:pt idx="1072">
                  <c:v>93197961303.888504</c:v>
                </c:pt>
                <c:pt idx="1073">
                  <c:v>91270621844.379013</c:v>
                </c:pt>
                <c:pt idx="1074">
                  <c:v>91135081491.298492</c:v>
                </c:pt>
                <c:pt idx="1075">
                  <c:v>91723947750.604507</c:v>
                </c:pt>
                <c:pt idx="1076">
                  <c:v>91943325665.380707</c:v>
                </c:pt>
                <c:pt idx="1077">
                  <c:v>91955948212.785889</c:v>
                </c:pt>
                <c:pt idx="1078">
                  <c:v>91197168820.701645</c:v>
                </c:pt>
                <c:pt idx="1079">
                  <c:v>92148327156.735001</c:v>
                </c:pt>
                <c:pt idx="1080">
                  <c:v>93069653540.917328</c:v>
                </c:pt>
                <c:pt idx="1081">
                  <c:v>95598117185.134094</c:v>
                </c:pt>
                <c:pt idx="1082">
                  <c:v>96949245011.614914</c:v>
                </c:pt>
                <c:pt idx="1083">
                  <c:v>96944353278.417679</c:v>
                </c:pt>
                <c:pt idx="1084">
                  <c:v>97520419103.42601</c:v>
                </c:pt>
                <c:pt idx="1085">
                  <c:v>98382506579.44458</c:v>
                </c:pt>
                <c:pt idx="1086">
                  <c:v>98889683641.455231</c:v>
                </c:pt>
                <c:pt idx="1087">
                  <c:v>100133898048.65924</c:v>
                </c:pt>
                <c:pt idx="1088">
                  <c:v>102199638907.2356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9-4174-A88B-8DBEDA45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620735"/>
        <c:axId val="1242622815"/>
      </c:lineChart>
      <c:catAx>
        <c:axId val="12426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PT Nazanin" panose="00000400000000000000" pitchFamily="2" charset="2"/>
                <a:ea typeface="+mn-ea"/>
                <a:cs typeface="+mn-cs"/>
              </a:defRPr>
            </a:pPr>
            <a:endParaRPr lang="en-US"/>
          </a:p>
        </c:txPr>
        <c:crossAx val="1242622815"/>
        <c:crosses val="autoZero"/>
        <c:auto val="1"/>
        <c:lblAlgn val="ctr"/>
        <c:lblOffset val="100"/>
        <c:noMultiLvlLbl val="0"/>
      </c:catAx>
      <c:valAx>
        <c:axId val="12426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PT Nazanin" panose="00000400000000000000" pitchFamily="2" charset="2"/>
                <a:ea typeface="+mn-ea"/>
                <a:cs typeface="+mn-cs"/>
              </a:defRPr>
            </a:pPr>
            <a:endParaRPr lang="en-US"/>
          </a:p>
        </c:txPr>
        <c:crossAx val="12426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052691991552"/>
          <c:y val="0.13175462169742685"/>
          <c:w val="0.80113124421000093"/>
          <c:h val="0.76204120956431276"/>
        </c:manualLayout>
      </c:layout>
      <c:pieChart>
        <c:varyColors val="1"/>
        <c:ser>
          <c:idx val="1"/>
          <c:order val="0"/>
          <c:tx>
            <c:v>درصد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7AE-4C41-8864-BEA3911EB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85-455A-AAA1-2CF7ED6966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85-455A-AAA1-2CF7ED6966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85-455A-AAA1-2CF7ED6966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185-455A-AAA1-2CF7ED6966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185-455A-AAA1-2CF7ED6966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185-455A-AAA1-2CF7ED6966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185-455A-AAA1-2CF7ED6966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185-455A-AAA1-2CF7ED6966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185-455A-AAA1-2CF7ED6966B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720-4A79-8965-06B1BCDBA3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307-42B3-8C6E-922884C4556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646-49CD-A3C4-22280F73DF2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DE5-4965-B1F6-F12065B0C32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BF03-4382-9815-F5B5B8B5731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52EC-47F7-818B-16172AA9E0C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777-41FA-8FF1-279F4BB766E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849-44D2-8545-CA4220978B3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849-44D2-8545-CA4220978B3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9849-44D2-8545-CA4220978B3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849-44D2-8545-CA4220978B3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849-44D2-8545-CA4220978B3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D65B-4188-9FD5-17A87C7CFD7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1B00-4D8A-9A55-A0E62C2760F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73E9-4561-A486-42ED9B9F9CA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EB55-48E0-ADE9-452A58FAA87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7AE-4C41-8864-BEA3911EB1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185-455A-AAA1-2CF7ED6966B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185-455A-AAA1-2CF7ED6966B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185-455A-AAA1-2CF7ED6966B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A185-455A-AAA1-2CF7ED6966B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A185-455A-AAA1-2CF7ED6966B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185-455A-AAA1-2CF7ED6966B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A185-455A-AAA1-2CF7ED6966B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A185-455A-AAA1-2CF7ED6966B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A185-455A-AAA1-2CF7ED6966B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6720-4A79-8965-06B1BCDBA3C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D307-42B3-8C6E-922884C4556E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65B-4188-9FD5-17A87C7CFD75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1B00-4D8A-9A55-A0E62C2760F7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73E9-4561-A486-42ED9B9F9CA3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EB55-48E0-ADE9-452A58FAA87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Sheet1!$B$3:$B$14</c:f>
              <c:strCache>
                <c:ptCount val="12"/>
                <c:pt idx="0">
                  <c:v> مثقال </c:v>
                </c:pt>
                <c:pt idx="1">
                  <c:v> کاسپین </c:v>
                </c:pt>
                <c:pt idx="2">
                  <c:v> زکشت </c:v>
                </c:pt>
                <c:pt idx="3">
                  <c:v> دارو </c:v>
                </c:pt>
                <c:pt idx="4">
                  <c:v> کالا </c:v>
                </c:pt>
                <c:pt idx="5">
                  <c:v> سصوفی </c:v>
                </c:pt>
                <c:pt idx="6">
                  <c:v> دقاضی </c:v>
                </c:pt>
                <c:pt idx="7">
                  <c:v> کپرور </c:v>
                </c:pt>
                <c:pt idx="8">
                  <c:v> شبهرن </c:v>
                </c:pt>
                <c:pt idx="9">
                  <c:v> گشان </c:v>
                </c:pt>
                <c:pt idx="10">
                  <c:v> حامیا </c:v>
                </c:pt>
                <c:pt idx="11">
                  <c:v> یاقوت </c:v>
                </c:pt>
              </c:strCache>
            </c:strRef>
          </c:cat>
          <c:val>
            <c:numRef>
              <c:f>Sheet1!$BE$3:$BE$14</c:f>
              <c:numCache>
                <c:formatCode>0.00%</c:formatCode>
                <c:ptCount val="12"/>
                <c:pt idx="0">
                  <c:v>0.46981507470516326</c:v>
                </c:pt>
                <c:pt idx="1">
                  <c:v>0.14615886578345288</c:v>
                </c:pt>
                <c:pt idx="2">
                  <c:v>9.6649608471725074E-2</c:v>
                </c:pt>
                <c:pt idx="3">
                  <c:v>9.2364043628609047E-2</c:v>
                </c:pt>
                <c:pt idx="4">
                  <c:v>8.2708268949016381E-2</c:v>
                </c:pt>
                <c:pt idx="5">
                  <c:v>6.2545055427856794E-2</c:v>
                </c:pt>
                <c:pt idx="6">
                  <c:v>2.4405281309222059E-2</c:v>
                </c:pt>
                <c:pt idx="7">
                  <c:v>7.024021970680144E-3</c:v>
                </c:pt>
                <c:pt idx="8">
                  <c:v>5.4450645162954841E-3</c:v>
                </c:pt>
                <c:pt idx="9">
                  <c:v>4.8982025112474107E-3</c:v>
                </c:pt>
                <c:pt idx="10">
                  <c:v>2.4675935325848349E-4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AE-4C41-8864-BEA3911EB1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Sheet1!$BE$3:$BE$14</c:f>
              <c:strCache>
                <c:ptCount val="12"/>
                <c:pt idx="0">
                  <c:v>46.98%</c:v>
                </c:pt>
                <c:pt idx="1">
                  <c:v>14.62%</c:v>
                </c:pt>
                <c:pt idx="2">
                  <c:v>9.66%</c:v>
                </c:pt>
                <c:pt idx="3">
                  <c:v>9.24%</c:v>
                </c:pt>
                <c:pt idx="4">
                  <c:v>8.27%</c:v>
                </c:pt>
                <c:pt idx="5">
                  <c:v>6.25%</c:v>
                </c:pt>
                <c:pt idx="6">
                  <c:v>2.44%</c:v>
                </c:pt>
                <c:pt idx="7">
                  <c:v>0.70%</c:v>
                </c:pt>
                <c:pt idx="8">
                  <c:v>0.54%</c:v>
                </c:pt>
                <c:pt idx="9">
                  <c:v>0.49%</c:v>
                </c:pt>
                <c:pt idx="10">
                  <c:v>0.02%</c:v>
                </c:pt>
                <c:pt idx="11">
                  <c:v>0.00%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Sheet1!$B$3:$B$14</c:f>
              <c:strCache>
                <c:ptCount val="12"/>
                <c:pt idx="0">
                  <c:v> مثقال </c:v>
                </c:pt>
                <c:pt idx="1">
                  <c:v> کاسپین </c:v>
                </c:pt>
                <c:pt idx="2">
                  <c:v> زکشت </c:v>
                </c:pt>
                <c:pt idx="3">
                  <c:v> دارو </c:v>
                </c:pt>
                <c:pt idx="4">
                  <c:v> کالا </c:v>
                </c:pt>
                <c:pt idx="5">
                  <c:v> سصوفی </c:v>
                </c:pt>
                <c:pt idx="6">
                  <c:v> دقاضی </c:v>
                </c:pt>
                <c:pt idx="7">
                  <c:v> کپرور </c:v>
                </c:pt>
                <c:pt idx="8">
                  <c:v> شبهرن </c:v>
                </c:pt>
                <c:pt idx="9">
                  <c:v> گشان </c:v>
                </c:pt>
                <c:pt idx="10">
                  <c:v> حامیا </c:v>
                </c:pt>
                <c:pt idx="11">
                  <c:v> یاقوت </c:v>
                </c:pt>
              </c:strCache>
            </c:strRef>
          </c:cat>
          <c:val>
            <c:numRef>
              <c:f>Sheet1!$BE$3:$BE$14</c:f>
              <c:numCache>
                <c:formatCode>0.00%</c:formatCode>
                <c:ptCount val="12"/>
                <c:pt idx="0">
                  <c:v>0.46981507470516326</c:v>
                </c:pt>
                <c:pt idx="1">
                  <c:v>0.14615886578345288</c:v>
                </c:pt>
                <c:pt idx="2">
                  <c:v>9.6649608471725074E-2</c:v>
                </c:pt>
                <c:pt idx="3">
                  <c:v>9.2364043628609047E-2</c:v>
                </c:pt>
                <c:pt idx="4">
                  <c:v>8.2708268949016381E-2</c:v>
                </c:pt>
                <c:pt idx="5">
                  <c:v>6.2545055427856794E-2</c:v>
                </c:pt>
                <c:pt idx="6">
                  <c:v>2.4405281309222059E-2</c:v>
                </c:pt>
                <c:pt idx="7">
                  <c:v>7.024021970680144E-3</c:v>
                </c:pt>
                <c:pt idx="8">
                  <c:v>5.4450645162954841E-3</c:v>
                </c:pt>
                <c:pt idx="9">
                  <c:v>4.8982025112474107E-3</c:v>
                </c:pt>
                <c:pt idx="10">
                  <c:v>2.4675935325848349E-4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4-4DE8-9B39-A6158063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344304"/>
        <c:axId val="334348048"/>
      </c:barChart>
      <c:catAx>
        <c:axId val="3343443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334348048"/>
        <c:crosses val="autoZero"/>
        <c:auto val="1"/>
        <c:lblAlgn val="ctr"/>
        <c:lblOffset val="100"/>
        <c:noMultiLvlLbl val="0"/>
      </c:catAx>
      <c:valAx>
        <c:axId val="3343480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PT Nazanin" panose="00000400000000000000" pitchFamily="2" charset="2"/>
                <a:ea typeface="+mn-ea"/>
                <a:cs typeface="+mn-cs"/>
              </a:defRPr>
            </a:pPr>
            <a:endParaRPr lang="en-US"/>
          </a:p>
        </c:txPr>
        <c:crossAx val="33434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817418</xdr:colOff>
      <xdr:row>22</xdr:row>
      <xdr:rowOff>27708</xdr:rowOff>
    </xdr:from>
    <xdr:to>
      <xdr:col>27</xdr:col>
      <xdr:colOff>235527</xdr:colOff>
      <xdr:row>54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8F72A6-7988-4C9A-A30A-F8F7DCCF2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360219</xdr:colOff>
      <xdr:row>1</xdr:row>
      <xdr:rowOff>263237</xdr:rowOff>
    </xdr:from>
    <xdr:to>
      <xdr:col>27</xdr:col>
      <xdr:colOff>221673</xdr:colOff>
      <xdr:row>22</xdr:row>
      <xdr:rowOff>221672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6FBF0-E6E2-4FE8-848E-92ADAF879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796348</xdr:colOff>
      <xdr:row>2</xdr:row>
      <xdr:rowOff>1</xdr:rowOff>
    </xdr:from>
    <xdr:to>
      <xdr:col>17</xdr:col>
      <xdr:colOff>360218</xdr:colOff>
      <xdr:row>22</xdr:row>
      <xdr:rowOff>55418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6A6BD5-0426-4E13-8FF3-CF57F3D7C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103322</xdr:colOff>
      <xdr:row>28</xdr:row>
      <xdr:rowOff>167899</xdr:rowOff>
    </xdr:from>
    <xdr:to>
      <xdr:col>6</xdr:col>
      <xdr:colOff>2270760</xdr:colOff>
      <xdr:row>47</xdr:row>
      <xdr:rowOff>45720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A548E23-306F-4ED3-8339-0C7F408A4172}"/>
            </a:ext>
          </a:extLst>
        </xdr:cNvPr>
        <xdr:cNvCxnSpPr/>
      </xdr:nvCxnSpPr>
      <xdr:spPr>
        <a:xfrm flipV="1">
          <a:off x="10233263760" y="7871719"/>
          <a:ext cx="2167438" cy="5089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7"/>
  <sheetViews>
    <sheetView rightToLeft="1" zoomScale="25" zoomScaleNormal="25" workbookViewId="0">
      <pane xSplit="3" ySplit="2" topLeftCell="AS3" activePane="bottomRight" state="frozen"/>
      <selection pane="topRight" activeCell="D1" sqref="D1"/>
      <selection pane="bottomLeft" activeCell="A3" sqref="A3"/>
      <selection pane="bottomRight" activeCell="BC21" sqref="BC21"/>
    </sheetView>
  </sheetViews>
  <sheetFormatPr defaultColWidth="25.6640625" defaultRowHeight="46.2" x14ac:dyDescent="0.3"/>
  <cols>
    <col min="1" max="1" width="11.6640625" style="1" customWidth="1"/>
    <col min="2" max="9" width="50.6640625" style="1" customWidth="1"/>
    <col min="10" max="10" width="61.6640625" style="1" bestFit="1" customWidth="1"/>
    <col min="11" max="17" width="50.6640625" style="1" customWidth="1"/>
    <col min="18" max="18" width="61.6640625" style="1" bestFit="1" customWidth="1"/>
    <col min="19" max="25" width="50.6640625" style="1" customWidth="1"/>
    <col min="26" max="26" width="61.6640625" style="1" bestFit="1" customWidth="1"/>
    <col min="27" max="33" width="50.6640625" style="1" customWidth="1"/>
    <col min="34" max="34" width="61.6640625" style="1" bestFit="1" customWidth="1"/>
    <col min="35" max="41" width="50.6640625" style="1" customWidth="1"/>
    <col min="42" max="42" width="61.6640625" style="1" bestFit="1" customWidth="1"/>
    <col min="43" max="49" width="50.6640625" style="1" customWidth="1"/>
    <col min="50" max="50" width="61.6640625" style="1" bestFit="1" customWidth="1"/>
    <col min="51" max="53" width="50.6640625" style="1" customWidth="1"/>
    <col min="54" max="54" width="65.44140625" style="1" customWidth="1"/>
    <col min="55" max="55" width="50.6640625" style="1" customWidth="1"/>
    <col min="56" max="57" width="40.6640625" style="1" customWidth="1"/>
    <col min="58" max="58" width="50.6640625" style="1" customWidth="1"/>
    <col min="59" max="63" width="58" style="1" customWidth="1"/>
    <col min="64" max="64" width="35" style="1" customWidth="1"/>
    <col min="65" max="66" width="40.6640625" style="1" customWidth="1"/>
    <col min="67" max="68" width="51.5546875" style="1" customWidth="1"/>
    <col min="69" max="71" width="40.6640625" style="1" customWidth="1"/>
    <col min="72" max="72" width="33.6640625" style="1" bestFit="1" customWidth="1"/>
    <col min="73" max="16384" width="25.6640625" style="1"/>
  </cols>
  <sheetData>
    <row r="1" spans="1:71" ht="81.599999999999994" customHeight="1" x14ac:dyDescent="0.3">
      <c r="B1" s="134"/>
      <c r="C1" s="134"/>
      <c r="D1" s="135" t="s">
        <v>1</v>
      </c>
      <c r="E1" s="135"/>
      <c r="F1" s="135"/>
      <c r="G1" s="135"/>
      <c r="H1" s="135"/>
      <c r="I1" s="135"/>
      <c r="J1" s="10"/>
      <c r="K1" s="10"/>
      <c r="L1" s="135" t="s">
        <v>2</v>
      </c>
      <c r="M1" s="135"/>
      <c r="N1" s="135"/>
      <c r="O1" s="135"/>
      <c r="P1" s="135"/>
      <c r="Q1" s="135"/>
      <c r="R1" s="10"/>
      <c r="S1" s="10"/>
      <c r="T1" s="135" t="s">
        <v>3</v>
      </c>
      <c r="U1" s="135"/>
      <c r="V1" s="135"/>
      <c r="W1" s="135"/>
      <c r="X1" s="135"/>
      <c r="Y1" s="135"/>
      <c r="Z1" s="10"/>
      <c r="AA1" s="10"/>
      <c r="AB1" s="135" t="s">
        <v>4</v>
      </c>
      <c r="AC1" s="135"/>
      <c r="AD1" s="135"/>
      <c r="AE1" s="135"/>
      <c r="AF1" s="135"/>
      <c r="AG1" s="135"/>
      <c r="AH1" s="10"/>
      <c r="AI1" s="10"/>
      <c r="AJ1" s="135" t="s">
        <v>5</v>
      </c>
      <c r="AK1" s="135"/>
      <c r="AL1" s="135"/>
      <c r="AM1" s="135"/>
      <c r="AN1" s="135"/>
      <c r="AO1" s="135"/>
      <c r="AP1" s="10"/>
      <c r="AQ1" s="10"/>
      <c r="AR1" s="135" t="s">
        <v>6</v>
      </c>
      <c r="AS1" s="135"/>
      <c r="AT1" s="135"/>
      <c r="AU1" s="135"/>
      <c r="AV1" s="135"/>
      <c r="AW1" s="135"/>
      <c r="AX1" s="10"/>
      <c r="AY1" s="10"/>
      <c r="AZ1" s="10"/>
      <c r="BA1" s="135" t="s">
        <v>8</v>
      </c>
      <c r="BB1" s="135"/>
      <c r="BC1" s="135"/>
      <c r="BD1" s="135"/>
      <c r="BE1" s="135"/>
      <c r="BF1" s="135"/>
      <c r="BG1" s="135"/>
      <c r="BH1" s="135"/>
      <c r="BI1" s="135"/>
      <c r="BJ1" s="10"/>
      <c r="BK1" s="10"/>
      <c r="BM1" s="133" t="s">
        <v>17</v>
      </c>
      <c r="BN1" s="133"/>
      <c r="BO1" s="133"/>
      <c r="BP1" s="133"/>
      <c r="BQ1" s="133"/>
      <c r="BR1" s="133"/>
    </row>
    <row r="2" spans="1:71" s="11" customFormat="1" ht="79.2" customHeight="1" x14ac:dyDescent="0.3">
      <c r="A2" s="12" t="s">
        <v>26</v>
      </c>
      <c r="B2" s="13" t="s">
        <v>0</v>
      </c>
      <c r="C2" s="13" t="s">
        <v>12</v>
      </c>
      <c r="D2" s="13" t="s">
        <v>9</v>
      </c>
      <c r="E2" s="13" t="s">
        <v>10</v>
      </c>
      <c r="F2" s="13" t="s">
        <v>11</v>
      </c>
      <c r="G2" s="13" t="s">
        <v>223</v>
      </c>
      <c r="H2" s="13" t="s">
        <v>13</v>
      </c>
      <c r="I2" s="13" t="s">
        <v>22</v>
      </c>
      <c r="J2" s="14" t="s">
        <v>23</v>
      </c>
      <c r="K2" s="13"/>
      <c r="L2" s="13" t="s">
        <v>9</v>
      </c>
      <c r="M2" s="13" t="s">
        <v>10</v>
      </c>
      <c r="N2" s="13" t="s">
        <v>11</v>
      </c>
      <c r="O2" s="13" t="s">
        <v>223</v>
      </c>
      <c r="P2" s="13" t="s">
        <v>13</v>
      </c>
      <c r="Q2" s="13" t="s">
        <v>22</v>
      </c>
      <c r="R2" s="14" t="s">
        <v>23</v>
      </c>
      <c r="S2" s="13"/>
      <c r="T2" s="13" t="s">
        <v>9</v>
      </c>
      <c r="U2" s="13" t="s">
        <v>10</v>
      </c>
      <c r="V2" s="13" t="s">
        <v>11</v>
      </c>
      <c r="W2" s="13" t="s">
        <v>223</v>
      </c>
      <c r="X2" s="13" t="s">
        <v>13</v>
      </c>
      <c r="Y2" s="13" t="s">
        <v>22</v>
      </c>
      <c r="Z2" s="14" t="s">
        <v>23</v>
      </c>
      <c r="AA2" s="13"/>
      <c r="AB2" s="13" t="s">
        <v>9</v>
      </c>
      <c r="AC2" s="13" t="s">
        <v>10</v>
      </c>
      <c r="AD2" s="13" t="s">
        <v>11</v>
      </c>
      <c r="AE2" s="13" t="s">
        <v>223</v>
      </c>
      <c r="AF2" s="13" t="s">
        <v>13</v>
      </c>
      <c r="AG2" s="13" t="s">
        <v>22</v>
      </c>
      <c r="AH2" s="14" t="s">
        <v>23</v>
      </c>
      <c r="AI2" s="13"/>
      <c r="AJ2" s="13" t="s">
        <v>9</v>
      </c>
      <c r="AK2" s="13" t="s">
        <v>10</v>
      </c>
      <c r="AL2" s="13" t="s">
        <v>11</v>
      </c>
      <c r="AM2" s="13" t="s">
        <v>223</v>
      </c>
      <c r="AN2" s="13" t="s">
        <v>13</v>
      </c>
      <c r="AO2" s="13" t="s">
        <v>22</v>
      </c>
      <c r="AP2" s="14" t="s">
        <v>23</v>
      </c>
      <c r="AQ2" s="13"/>
      <c r="AR2" s="13" t="s">
        <v>9</v>
      </c>
      <c r="AS2" s="13" t="s">
        <v>10</v>
      </c>
      <c r="AT2" s="13" t="s">
        <v>11</v>
      </c>
      <c r="AU2" s="13" t="s">
        <v>223</v>
      </c>
      <c r="AV2" s="13" t="s">
        <v>13</v>
      </c>
      <c r="AW2" s="13" t="s">
        <v>22</v>
      </c>
      <c r="AX2" s="14" t="s">
        <v>23</v>
      </c>
      <c r="AY2" s="13"/>
      <c r="AZ2" s="13"/>
      <c r="BA2" s="13" t="s">
        <v>9</v>
      </c>
      <c r="BB2" s="13" t="s">
        <v>10</v>
      </c>
      <c r="BC2" s="13" t="s">
        <v>11</v>
      </c>
      <c r="BD2" s="14" t="s">
        <v>13</v>
      </c>
      <c r="BE2" s="14" t="s">
        <v>14</v>
      </c>
      <c r="BF2" s="14" t="s">
        <v>22</v>
      </c>
      <c r="BG2" s="14" t="s">
        <v>23</v>
      </c>
      <c r="BH2" s="14" t="s">
        <v>578</v>
      </c>
      <c r="BI2" s="14" t="s">
        <v>25</v>
      </c>
      <c r="BJ2" s="14" t="s">
        <v>579</v>
      </c>
      <c r="BK2" s="14"/>
      <c r="BM2" s="13" t="s">
        <v>9</v>
      </c>
      <c r="BN2" s="13" t="s">
        <v>10</v>
      </c>
      <c r="BO2" s="13" t="s">
        <v>11</v>
      </c>
      <c r="BP2" s="13" t="s">
        <v>27</v>
      </c>
      <c r="BQ2" s="11" t="s">
        <v>20</v>
      </c>
      <c r="BR2" s="11" t="s">
        <v>13</v>
      </c>
    </row>
    <row r="3" spans="1:71" ht="80.099999999999994" customHeight="1" x14ac:dyDescent="0.3">
      <c r="A3" s="9">
        <v>1</v>
      </c>
      <c r="B3" s="13" t="s">
        <v>715</v>
      </c>
      <c r="C3" s="17">
        <v>153981</v>
      </c>
      <c r="D3" s="3">
        <v>62033</v>
      </c>
      <c r="E3" s="3">
        <v>2774363892</v>
      </c>
      <c r="F3" s="3">
        <f>PRODUCT(C3,D3)-0.001186*(PRODUCT(C3,D3))</f>
        <v>9540574815.5996227</v>
      </c>
      <c r="G3" s="20">
        <f>F3/F$16</f>
        <v>0.58024029471574834</v>
      </c>
      <c r="H3" s="16">
        <f>(F3/E3)-1</f>
        <v>2.4388332558357932</v>
      </c>
      <c r="I3" s="3">
        <f>F3-E3</f>
        <v>6766210923.5996227</v>
      </c>
      <c r="J3" s="3">
        <f>E3/D3</f>
        <v>44724</v>
      </c>
      <c r="K3" s="3"/>
      <c r="L3" s="3">
        <v>5962</v>
      </c>
      <c r="M3" s="3">
        <v>258080954</v>
      </c>
      <c r="N3" s="3">
        <f>PRODUCT(C3,L3)-0.001186*(PRODUCT(C3,L3))</f>
        <v>916945932.81970799</v>
      </c>
      <c r="O3" s="20">
        <f t="shared" ref="O3:O8" si="0">N3/N$16</f>
        <v>0.15188126988314676</v>
      </c>
      <c r="P3" s="16">
        <f t="shared" ref="P3:P8" si="1">(N3/M3)-1</f>
        <v>2.5529391789977187</v>
      </c>
      <c r="Q3" s="3">
        <f t="shared" ref="Q3:Q8" si="2">N3-M3</f>
        <v>658864978.81970799</v>
      </c>
      <c r="R3" s="3">
        <f t="shared" ref="R3:R8" si="3">M3/L3</f>
        <v>43287.647433747064</v>
      </c>
      <c r="S3" s="3"/>
      <c r="T3" s="3">
        <v>43685</v>
      </c>
      <c r="U3" s="3">
        <v>3461768653</v>
      </c>
      <c r="V3" s="3">
        <f>PRODUCT(C3,T3)-0.001186*(PRODUCT(C3,T3))</f>
        <v>6718682166.2577896</v>
      </c>
      <c r="W3" s="20">
        <f>V3/V$16</f>
        <v>0.41888171848960215</v>
      </c>
      <c r="X3" s="16">
        <f>(V3/U3)-1</f>
        <v>0.9408235615153886</v>
      </c>
      <c r="Y3" s="3">
        <f>V3-U3</f>
        <v>3256913513.2577896</v>
      </c>
      <c r="Z3" s="3">
        <f>U3/T3</f>
        <v>79243.874396245854</v>
      </c>
      <c r="AA3" s="3"/>
      <c r="AB3" s="3">
        <v>63148</v>
      </c>
      <c r="AC3" s="3">
        <v>3215338609</v>
      </c>
      <c r="AD3" s="3">
        <f>PRODUCT(C3,AB3)-0.001186*(PRODUCT(C3,AB3))</f>
        <v>9712060007.6650314</v>
      </c>
      <c r="AE3" s="20">
        <f>AD3/AD$16</f>
        <v>0.95783517379201844</v>
      </c>
      <c r="AF3" s="16">
        <f>(AD3/AC3)-1</f>
        <v>2.0205403500832442</v>
      </c>
      <c r="AG3" s="3">
        <f>AD3-AC3</f>
        <v>6496721398.6650314</v>
      </c>
      <c r="AH3" s="3">
        <f>AC3/AB3</f>
        <v>50917.505051624757</v>
      </c>
      <c r="AI3" s="3"/>
      <c r="AJ3" s="3">
        <v>75968</v>
      </c>
      <c r="AK3" s="3">
        <v>5639080374</v>
      </c>
      <c r="AL3" s="3">
        <f>PRODUCT(C3,AJ3)-0.001186*(PRODUCT(C3,AJ3))</f>
        <v>11683755220.470913</v>
      </c>
      <c r="AM3" s="20">
        <f>AL3/AL$16</f>
        <v>0.77541691016724079</v>
      </c>
      <c r="AN3" s="16">
        <f>(AL3/AK3)-1</f>
        <v>1.0719256413405596</v>
      </c>
      <c r="AO3" s="3">
        <f>AL3-AK3</f>
        <v>6044674846.4709129</v>
      </c>
      <c r="AP3" s="3">
        <f>AK3/AJ3</f>
        <v>74229.680576032013</v>
      </c>
      <c r="AQ3" s="3"/>
      <c r="AR3" s="3">
        <v>61398</v>
      </c>
      <c r="AS3" s="3">
        <v>4857686964</v>
      </c>
      <c r="AT3" s="3">
        <f>PRODUCT(C3,AR3)-0.001186*(PRODUCT(C3,AR3))</f>
        <v>9442912845.2305317</v>
      </c>
      <c r="AU3" s="20">
        <f t="shared" ref="AU3:AU14" si="4">AT3/AT$16</f>
        <v>0.25059439920743748</v>
      </c>
      <c r="AV3" s="16">
        <f t="shared" ref="AV3:AV8" si="5">(AT3/AS3)-1</f>
        <v>0.94391135435678342</v>
      </c>
      <c r="AW3" s="3">
        <f t="shared" ref="AW3:AW14" si="6">AT3-AS3</f>
        <v>4585225881.2305317</v>
      </c>
      <c r="AX3" s="3">
        <f>AS3/AR3</f>
        <v>79118</v>
      </c>
      <c r="AY3" s="3"/>
      <c r="AZ3" s="3"/>
      <c r="BA3" s="3">
        <f t="shared" ref="BA3:BA14" si="7">SUM(AR3,AJ3,AB3,T3,L3,D3)</f>
        <v>312194</v>
      </c>
      <c r="BB3" s="3">
        <f t="shared" ref="BB3:BB14" si="8">SUM(AS3,AK3,AC3,U3,M3,E3)</f>
        <v>20206319446</v>
      </c>
      <c r="BC3" s="3">
        <f t="shared" ref="BC3:BC14" si="9">SUM(AT3,AL3,AD3,V3,N3,F3)</f>
        <v>48014930988.043602</v>
      </c>
      <c r="BD3" s="16">
        <f t="shared" ref="BD3:BD13" si="10">(BC3/BB3)-1</f>
        <v>1.3762333915565477</v>
      </c>
      <c r="BE3" s="34">
        <f t="shared" ref="BE3:BE14" si="11">BC3/BC$21</f>
        <v>0.46981507470516326</v>
      </c>
      <c r="BF3" s="3">
        <f t="shared" ref="BF3:BF14" si="12">BC3-BB3</f>
        <v>27808611542.043602</v>
      </c>
      <c r="BG3" s="3">
        <f t="shared" ref="BG3:BG13" si="13">(BB3/BA3)-(0.00464*(BB3/BA3))</f>
        <v>64423.282073872528</v>
      </c>
      <c r="BH3" s="3">
        <v>0</v>
      </c>
      <c r="BI3" s="3">
        <v>0</v>
      </c>
      <c r="BJ3" s="3">
        <v>0</v>
      </c>
      <c r="BK3" s="3"/>
      <c r="BM3" s="4">
        <v>3078</v>
      </c>
      <c r="BN3" s="3">
        <v>125065782</v>
      </c>
      <c r="BO3" s="3">
        <f>(C3*BM3)-(0.0088*(C3*BM3))</f>
        <v>469782727.04159999</v>
      </c>
      <c r="BP3" s="20">
        <f>BO3/BO$16</f>
        <v>0.98995468814255139</v>
      </c>
      <c r="BQ3" s="3">
        <f>BO3-BN3</f>
        <v>344716945.04159999</v>
      </c>
      <c r="BR3" s="16">
        <f>(BO3/BN3)-1</f>
        <v>2.7562850487881647</v>
      </c>
      <c r="BS3" s="3">
        <v>0</v>
      </c>
    </row>
    <row r="4" spans="1:71" ht="80.099999999999994" customHeight="1" x14ac:dyDescent="0.3">
      <c r="A4" s="9">
        <v>4</v>
      </c>
      <c r="B4" s="13" t="s">
        <v>862</v>
      </c>
      <c r="C4" s="17">
        <v>32650</v>
      </c>
      <c r="D4" s="3">
        <v>52955</v>
      </c>
      <c r="E4" s="3">
        <v>1620640455</v>
      </c>
      <c r="F4" s="3">
        <f>PRODUCT(C4,D4)-0.0088*(PRODUCT(C4,D4))</f>
        <v>1713765719.4000001</v>
      </c>
      <c r="G4" s="20">
        <v>0</v>
      </c>
      <c r="H4" s="16">
        <f>(F4/E4)-1</f>
        <v>5.746201392954875E-2</v>
      </c>
      <c r="I4" s="3">
        <f>F4-E4</f>
        <v>93125264.400000095</v>
      </c>
      <c r="J4" s="3">
        <v>0</v>
      </c>
      <c r="K4" s="3"/>
      <c r="L4" s="3">
        <v>72597</v>
      </c>
      <c r="M4" s="3">
        <v>648157175</v>
      </c>
      <c r="N4" s="3">
        <f>PRODUCT(C4,L4)-0.0088*(PRODUCT(C4,L4))</f>
        <v>2349433479.96</v>
      </c>
      <c r="O4" s="20">
        <f t="shared" si="0"/>
        <v>0.38915592257986181</v>
      </c>
      <c r="P4" s="16">
        <f t="shared" si="1"/>
        <v>2.6247897432594187</v>
      </c>
      <c r="Q4" s="3">
        <f t="shared" si="2"/>
        <v>1701276304.96</v>
      </c>
      <c r="R4" s="3">
        <f t="shared" si="3"/>
        <v>8928.1537115858773</v>
      </c>
      <c r="S4" s="3"/>
      <c r="T4" s="3">
        <v>90775</v>
      </c>
      <c r="U4" s="3">
        <v>1764841021</v>
      </c>
      <c r="V4" s="3">
        <f>PRODUCT(C4,T4)-0.0088*(PRODUCT(C4,T4))</f>
        <v>2937722277</v>
      </c>
      <c r="W4" s="20">
        <v>0</v>
      </c>
      <c r="X4" s="16">
        <f>(V4/U4)-1</f>
        <v>0.66458181901020086</v>
      </c>
      <c r="Y4" s="3">
        <f>V4-U4</f>
        <v>1172881256</v>
      </c>
      <c r="Z4" s="3">
        <f>U4/T4</f>
        <v>19441.928074910495</v>
      </c>
      <c r="AA4" s="3"/>
      <c r="AB4" s="3">
        <v>0</v>
      </c>
      <c r="AC4" s="3">
        <v>0</v>
      </c>
      <c r="AD4" s="3">
        <f>PRODUCT(C4,AB4)-0.0088*(PRODUCT(C4,AB4))</f>
        <v>0</v>
      </c>
      <c r="AE4" s="20">
        <f>AD4/AD$16</f>
        <v>0</v>
      </c>
      <c r="AF4" s="16">
        <v>0</v>
      </c>
      <c r="AG4" s="3">
        <f>AD4-AC4</f>
        <v>0</v>
      </c>
      <c r="AH4" s="3">
        <v>0</v>
      </c>
      <c r="AI4" s="3"/>
      <c r="AJ4" s="3">
        <v>36190</v>
      </c>
      <c r="AK4" s="3">
        <v>444748423</v>
      </c>
      <c r="AL4" s="3">
        <f t="shared" ref="AL4:AL9" si="14">PRODUCT(C4,AJ4)-0.0088*(PRODUCT(C4,AJ4))</f>
        <v>1171205389.2</v>
      </c>
      <c r="AM4" s="20">
        <f>AL4/AL$16</f>
        <v>7.7729501083135574E-2</v>
      </c>
      <c r="AN4" s="16">
        <f>(AL4/AK4)-1</f>
        <v>1.6334109996383281</v>
      </c>
      <c r="AO4" s="3">
        <f>AL4-AK4</f>
        <v>726456966.20000005</v>
      </c>
      <c r="AP4" s="3">
        <f>AK4/AJ4</f>
        <v>12289.262862669246</v>
      </c>
      <c r="AQ4" s="3"/>
      <c r="AR4" s="3">
        <v>209045</v>
      </c>
      <c r="AS4" s="3">
        <v>2563468518</v>
      </c>
      <c r="AT4" s="3">
        <f t="shared" ref="AT4:AT13" si="15">PRODUCT(C4,AR4)-0.0088*(PRODUCT(C4,AR4))</f>
        <v>6765256440.6000004</v>
      </c>
      <c r="AU4" s="20">
        <f t="shared" si="4"/>
        <v>0.17953521344557272</v>
      </c>
      <c r="AV4" s="16">
        <f t="shared" si="5"/>
        <v>1.6391026037948793</v>
      </c>
      <c r="AW4" s="3">
        <f t="shared" si="6"/>
        <v>4201787922.6000004</v>
      </c>
      <c r="AX4" s="3">
        <f>AS4/AR4</f>
        <v>12262.759300629052</v>
      </c>
      <c r="AY4" s="3"/>
      <c r="AZ4" s="3"/>
      <c r="BA4" s="3">
        <f t="shared" si="7"/>
        <v>461562</v>
      </c>
      <c r="BB4" s="3">
        <f t="shared" si="8"/>
        <v>7041855592</v>
      </c>
      <c r="BC4" s="3">
        <f t="shared" si="9"/>
        <v>14937383306.159998</v>
      </c>
      <c r="BD4" s="16">
        <f t="shared" si="10"/>
        <v>1.1212282914647984</v>
      </c>
      <c r="BE4" s="34">
        <f t="shared" si="11"/>
        <v>0.14615886578345288</v>
      </c>
      <c r="BF4" s="3">
        <f t="shared" si="12"/>
        <v>7895527714.1599979</v>
      </c>
      <c r="BG4" s="3">
        <f t="shared" si="13"/>
        <v>15185.785186070603</v>
      </c>
      <c r="BH4" s="3"/>
      <c r="BI4" s="3"/>
      <c r="BJ4" s="42"/>
      <c r="BK4" s="3"/>
      <c r="BM4" s="4"/>
      <c r="BN4" s="3"/>
      <c r="BO4" s="3"/>
      <c r="BP4" s="20"/>
      <c r="BQ4" s="3"/>
      <c r="BR4" s="16"/>
      <c r="BS4" s="3"/>
    </row>
    <row r="5" spans="1:71" ht="80.099999999999994" customHeight="1" x14ac:dyDescent="0.3">
      <c r="A5" s="9">
        <v>3</v>
      </c>
      <c r="B5" s="13" t="s">
        <v>1104</v>
      </c>
      <c r="C5" s="17">
        <v>22920</v>
      </c>
      <c r="D5" s="3">
        <v>1256</v>
      </c>
      <c r="E5" s="3">
        <v>15757346</v>
      </c>
      <c r="F5" s="3">
        <f>PRODUCT(C5,D5)-0.0088*(PRODUCT(C5,D5))</f>
        <v>28534189.824000001</v>
      </c>
      <c r="G5" s="20">
        <f>F5/F$16</f>
        <v>1.7353971886349369E-3</v>
      </c>
      <c r="H5" s="16">
        <f>(F5/E5)-1</f>
        <v>0.81084998857041035</v>
      </c>
      <c r="I5" s="3">
        <f>F5-E5</f>
        <v>12776843.824000001</v>
      </c>
      <c r="J5" s="3">
        <f>E5/D5</f>
        <v>12545.657643312103</v>
      </c>
      <c r="K5" s="3"/>
      <c r="L5" s="3">
        <v>59999</v>
      </c>
      <c r="M5" s="3">
        <v>734098578</v>
      </c>
      <c r="N5" s="3">
        <f>PRODUCT(C5,L5)-0.0088*(PRODUCT(C5,L5))</f>
        <v>1363075521.6960001</v>
      </c>
      <c r="O5" s="20">
        <f t="shared" si="0"/>
        <v>0.22577737004099577</v>
      </c>
      <c r="P5" s="16">
        <f t="shared" si="1"/>
        <v>0.85680174644882645</v>
      </c>
      <c r="Q5" s="3">
        <f t="shared" si="2"/>
        <v>628976943.6960001</v>
      </c>
      <c r="R5" s="3">
        <f t="shared" si="3"/>
        <v>12235.180219670328</v>
      </c>
      <c r="S5" s="3"/>
      <c r="T5" s="3">
        <v>22989</v>
      </c>
      <c r="U5" s="3">
        <v>309171440</v>
      </c>
      <c r="V5" s="3">
        <f>PRODUCT(C5,T5)-0.0088*(PRODUCT(C5,T5))</f>
        <v>522271090.65600002</v>
      </c>
      <c r="W5" s="20">
        <f>V5/V$16</f>
        <v>3.2561417039507878E-2</v>
      </c>
      <c r="X5" s="16">
        <f>(V5/U5)-1</f>
        <v>0.68926046550742215</v>
      </c>
      <c r="Y5" s="3">
        <f>V5-U5</f>
        <v>213099650.65600002</v>
      </c>
      <c r="Z5" s="3">
        <f>U5/T5</f>
        <v>13448.668493627387</v>
      </c>
      <c r="AA5" s="3"/>
      <c r="AB5" s="3"/>
      <c r="AC5" s="3"/>
      <c r="AD5" s="3"/>
      <c r="AE5" s="20"/>
      <c r="AF5" s="16"/>
      <c r="AG5" s="3"/>
      <c r="AH5" s="3"/>
      <c r="AI5" s="3"/>
      <c r="AJ5" s="3">
        <v>22351</v>
      </c>
      <c r="AK5" s="3">
        <v>300591194</v>
      </c>
      <c r="AL5" s="3">
        <f t="shared" si="14"/>
        <v>507776812.704</v>
      </c>
      <c r="AM5" s="20">
        <f>AL5/AL$16</f>
        <v>3.3699672727792375E-2</v>
      </c>
      <c r="AN5" s="16">
        <f>(AL5/AK5)-1</f>
        <v>0.68926044022434008</v>
      </c>
      <c r="AO5" s="3">
        <f>AL5-AK5</f>
        <v>207185618.704</v>
      </c>
      <c r="AP5" s="3">
        <f>AK5/AJ5</f>
        <v>13448.66869491298</v>
      </c>
      <c r="AQ5" s="3"/>
      <c r="AR5" s="3">
        <v>328189</v>
      </c>
      <c r="AS5" s="3">
        <v>4441281482</v>
      </c>
      <c r="AT5" s="3">
        <f t="shared" si="15"/>
        <v>7455897471.4560003</v>
      </c>
      <c r="AU5" s="20">
        <f t="shared" si="4"/>
        <v>0.19786332650051636</v>
      </c>
      <c r="AV5" s="16">
        <f t="shared" si="5"/>
        <v>0.67877165671076911</v>
      </c>
      <c r="AW5" s="3">
        <f t="shared" si="6"/>
        <v>3014615989.4560003</v>
      </c>
      <c r="AX5" s="3">
        <f>AS5/AR5</f>
        <v>13532.694520535424</v>
      </c>
      <c r="AY5" s="3"/>
      <c r="AZ5" s="3"/>
      <c r="BA5" s="3">
        <f t="shared" si="7"/>
        <v>434784</v>
      </c>
      <c r="BB5" s="3">
        <f t="shared" si="8"/>
        <v>5800900040</v>
      </c>
      <c r="BC5" s="3">
        <f t="shared" si="9"/>
        <v>9877555086.3360004</v>
      </c>
      <c r="BD5" s="16">
        <f t="shared" si="10"/>
        <v>0.70276250551216202</v>
      </c>
      <c r="BE5" s="34">
        <f t="shared" si="11"/>
        <v>9.6649608471725074E-2</v>
      </c>
      <c r="BF5" s="3">
        <f t="shared" si="12"/>
        <v>4076655046.3360004</v>
      </c>
      <c r="BG5" s="3">
        <f t="shared" si="13"/>
        <v>13280.12039038787</v>
      </c>
      <c r="BH5" s="3"/>
      <c r="BI5" s="3"/>
      <c r="BJ5" s="3"/>
      <c r="BK5" s="3"/>
      <c r="BM5" s="4"/>
      <c r="BN5" s="3"/>
      <c r="BO5" s="3"/>
      <c r="BP5" s="20"/>
      <c r="BQ5" s="3"/>
      <c r="BR5" s="16"/>
      <c r="BS5" s="3"/>
    </row>
    <row r="6" spans="1:71" ht="80.099999999999994" customHeight="1" x14ac:dyDescent="0.3">
      <c r="A6" s="9"/>
      <c r="B6" s="13" t="s">
        <v>1200</v>
      </c>
      <c r="C6" s="17">
        <v>8370</v>
      </c>
      <c r="D6" s="3"/>
      <c r="E6" s="3"/>
      <c r="F6" s="3"/>
      <c r="G6" s="20"/>
      <c r="H6" s="16"/>
      <c r="I6" s="3"/>
      <c r="J6" s="3"/>
      <c r="K6" s="3"/>
      <c r="L6" s="3">
        <v>84632</v>
      </c>
      <c r="M6" s="3">
        <v>550451069</v>
      </c>
      <c r="N6" s="3">
        <f>PRODUCT(C6,L6)-0.0088*(PRODUCT(C6,L6))</f>
        <v>702136185.40799999</v>
      </c>
      <c r="O6" s="20">
        <f t="shared" si="0"/>
        <v>0.11630057089924808</v>
      </c>
      <c r="P6" s="16">
        <f t="shared" si="1"/>
        <v>0.27556512277024936</v>
      </c>
      <c r="Q6" s="3">
        <f t="shared" si="2"/>
        <v>151685116.40799999</v>
      </c>
      <c r="R6" s="3">
        <f t="shared" si="3"/>
        <v>6504.0536558275826</v>
      </c>
      <c r="S6" s="3"/>
      <c r="T6" s="3"/>
      <c r="U6" s="3"/>
      <c r="V6" s="3"/>
      <c r="W6" s="20"/>
      <c r="X6" s="16"/>
      <c r="Y6" s="3"/>
      <c r="Z6" s="3"/>
      <c r="AA6" s="3"/>
      <c r="AB6" s="3"/>
      <c r="AC6" s="3"/>
      <c r="AD6" s="3"/>
      <c r="AE6" s="20"/>
      <c r="AF6" s="16"/>
      <c r="AG6" s="3"/>
      <c r="AH6" s="3"/>
      <c r="AI6" s="3"/>
      <c r="AJ6" s="3"/>
      <c r="AK6" s="3"/>
      <c r="AL6" s="3">
        <f t="shared" si="14"/>
        <v>8296.3439999999991</v>
      </c>
      <c r="AM6" s="20"/>
      <c r="AN6" s="16"/>
      <c r="AO6" s="3"/>
      <c r="AP6" s="3"/>
      <c r="AQ6" s="3"/>
      <c r="AR6" s="3">
        <v>1053166</v>
      </c>
      <c r="AS6" s="3">
        <v>7229334418</v>
      </c>
      <c r="AT6" s="3">
        <f t="shared" si="15"/>
        <v>8737427425.1040001</v>
      </c>
      <c r="AU6" s="20">
        <f t="shared" si="4"/>
        <v>0.23187234829964909</v>
      </c>
      <c r="AV6" s="16">
        <f t="shared" si="5"/>
        <v>0.20860744847396551</v>
      </c>
      <c r="AW6" s="3">
        <f t="shared" si="6"/>
        <v>1508093007.1040001</v>
      </c>
      <c r="AX6" s="3"/>
      <c r="AY6" s="3"/>
      <c r="AZ6" s="3"/>
      <c r="BA6" s="3">
        <f t="shared" si="7"/>
        <v>1137798</v>
      </c>
      <c r="BB6" s="3">
        <f t="shared" si="8"/>
        <v>7779785487</v>
      </c>
      <c r="BC6" s="3">
        <f t="shared" si="9"/>
        <v>9439571906.855999</v>
      </c>
      <c r="BD6" s="16">
        <f t="shared" si="10"/>
        <v>0.21334603924870388</v>
      </c>
      <c r="BE6" s="34">
        <f t="shared" si="11"/>
        <v>9.2364043628609047E-2</v>
      </c>
      <c r="BF6" s="3">
        <f t="shared" si="12"/>
        <v>1659786419.855999</v>
      </c>
      <c r="BG6" s="3">
        <f t="shared" si="13"/>
        <v>6805.8541870703939</v>
      </c>
      <c r="BH6" s="3"/>
      <c r="BI6" s="3"/>
      <c r="BJ6" s="3"/>
      <c r="BK6" s="3"/>
      <c r="BM6" s="4"/>
      <c r="BN6" s="3"/>
      <c r="BO6" s="3"/>
      <c r="BP6" s="20"/>
      <c r="BQ6" s="3"/>
      <c r="BR6" s="16"/>
      <c r="BS6" s="3"/>
    </row>
    <row r="7" spans="1:71" ht="80.099999999999994" customHeight="1" x14ac:dyDescent="0.3">
      <c r="A7" s="9">
        <v>5</v>
      </c>
      <c r="B7" s="13" t="s">
        <v>858</v>
      </c>
      <c r="C7" s="17">
        <v>9580</v>
      </c>
      <c r="D7" s="3">
        <v>209647</v>
      </c>
      <c r="E7" s="3">
        <v>650241564</v>
      </c>
      <c r="F7" s="3">
        <f>PRODUCT(C7,D7)-0.0088*(PRODUCT(C7,D7))</f>
        <v>1990744179.312</v>
      </c>
      <c r="G7" s="20">
        <f>F7/F$16</f>
        <v>0.12107341660577473</v>
      </c>
      <c r="H7" s="16">
        <f>(F7/E7)-1</f>
        <v>2.0615455694124161</v>
      </c>
      <c r="I7" s="3">
        <f>F7-E7</f>
        <v>1340502615.312</v>
      </c>
      <c r="J7" s="3">
        <f t="shared" ref="J7:J14" si="16">E7/D7</f>
        <v>3101.602045342886</v>
      </c>
      <c r="K7" s="3"/>
      <c r="L7" s="3">
        <v>0</v>
      </c>
      <c r="M7" s="3">
        <v>0</v>
      </c>
      <c r="N7" s="3">
        <f>PRODUCT(C7,L7)-0.0088*(PRODUCT(C7,L7))</f>
        <v>0</v>
      </c>
      <c r="O7" s="20">
        <f t="shared" si="0"/>
        <v>0</v>
      </c>
      <c r="P7" s="16" t="e">
        <f t="shared" si="1"/>
        <v>#DIV/0!</v>
      </c>
      <c r="Q7" s="3">
        <f t="shared" si="2"/>
        <v>0</v>
      </c>
      <c r="R7" s="3" t="e">
        <f t="shared" si="3"/>
        <v>#DIV/0!</v>
      </c>
      <c r="S7" s="3"/>
      <c r="T7" s="3">
        <v>270818</v>
      </c>
      <c r="U7" s="3">
        <v>847125144</v>
      </c>
      <c r="V7" s="3">
        <f>PRODUCT(C7,T7)-0.0088*(PRODUCT(C7,T7))</f>
        <v>2571605399.3280001</v>
      </c>
      <c r="W7" s="20">
        <f>V7/V$16</f>
        <v>0.16032883566921821</v>
      </c>
      <c r="X7" s="16">
        <f>(V7/U7)-1</f>
        <v>2.0356853618879245</v>
      </c>
      <c r="Y7" s="3">
        <f>V7-U7</f>
        <v>1724480255.3280001</v>
      </c>
      <c r="Z7" s="3">
        <f>U7/T7</f>
        <v>3128.0237798078415</v>
      </c>
      <c r="AA7" s="3"/>
      <c r="AB7" s="3">
        <v>0</v>
      </c>
      <c r="AC7" s="3">
        <v>0</v>
      </c>
      <c r="AD7" s="3">
        <f>PRODUCT(C7,AB7)-0.0088*(PRODUCT(C7,AB7))</f>
        <v>0</v>
      </c>
      <c r="AE7" s="20">
        <f>AD7/AD$16</f>
        <v>0</v>
      </c>
      <c r="AF7" s="16">
        <v>0</v>
      </c>
      <c r="AG7" s="3">
        <f>AD7-AC7</f>
        <v>0</v>
      </c>
      <c r="AH7" s="3">
        <v>0</v>
      </c>
      <c r="AI7" s="3"/>
      <c r="AJ7" s="3">
        <v>95358</v>
      </c>
      <c r="AK7" s="3">
        <v>248465173</v>
      </c>
      <c r="AL7" s="3">
        <f t="shared" si="14"/>
        <v>905490579.16799998</v>
      </c>
      <c r="AM7" s="20">
        <f>AL7/AL$16</f>
        <v>6.0094780644993386E-2</v>
      </c>
      <c r="AN7" s="16">
        <f>(AL7/AK7)-1</f>
        <v>2.6443360179416371</v>
      </c>
      <c r="AO7" s="3">
        <f>AL7-AK7</f>
        <v>657025406.16799998</v>
      </c>
      <c r="AP7" s="3">
        <f>AK7/AJ7</f>
        <v>2605.6038612387006</v>
      </c>
      <c r="AQ7" s="3"/>
      <c r="AR7" s="3">
        <v>314344</v>
      </c>
      <c r="AS7" s="3">
        <v>940295469</v>
      </c>
      <c r="AT7" s="3">
        <f t="shared" si="15"/>
        <v>2984915063.4239998</v>
      </c>
      <c r="AU7" s="20">
        <f t="shared" si="4"/>
        <v>7.921316327533108E-2</v>
      </c>
      <c r="AV7" s="16">
        <f t="shared" si="5"/>
        <v>2.1744437379863624</v>
      </c>
      <c r="AW7" s="3">
        <f t="shared" si="6"/>
        <v>2044619594.4239998</v>
      </c>
      <c r="AX7" s="3">
        <f>AS7/AR7</f>
        <v>2991.294470389128</v>
      </c>
      <c r="AY7" s="3"/>
      <c r="AZ7" s="3"/>
      <c r="BA7" s="3">
        <f t="shared" si="7"/>
        <v>890167</v>
      </c>
      <c r="BB7" s="3">
        <f t="shared" si="8"/>
        <v>2686127350</v>
      </c>
      <c r="BC7" s="3">
        <f t="shared" si="9"/>
        <v>8452755221.2320004</v>
      </c>
      <c r="BD7" s="16">
        <f t="shared" si="10"/>
        <v>2.1468184936324781</v>
      </c>
      <c r="BE7" s="34">
        <f t="shared" si="11"/>
        <v>8.2708268949016381E-2</v>
      </c>
      <c r="BF7" s="3">
        <f t="shared" si="12"/>
        <v>5766627871.2320004</v>
      </c>
      <c r="BG7" s="3">
        <f t="shared" si="13"/>
        <v>3003.5529502846093</v>
      </c>
      <c r="BH7" s="3">
        <v>0</v>
      </c>
      <c r="BI7" s="3">
        <v>0</v>
      </c>
      <c r="BJ7" s="42">
        <v>0</v>
      </c>
      <c r="BK7" s="3"/>
      <c r="BM7" s="4">
        <v>0</v>
      </c>
      <c r="BN7" s="3">
        <v>0</v>
      </c>
      <c r="BO7" s="3">
        <f>(C7*BM7)-(0.0088*(C7*BM7))</f>
        <v>0</v>
      </c>
      <c r="BP7" s="20">
        <f>BO7/BO$16</f>
        <v>0</v>
      </c>
      <c r="BQ7" s="3">
        <f>BO7-BN7</f>
        <v>0</v>
      </c>
      <c r="BR7" s="16" t="e">
        <f>(BO7/BN7)-1</f>
        <v>#DIV/0!</v>
      </c>
      <c r="BS7" s="3">
        <v>0</v>
      </c>
    </row>
    <row r="8" spans="1:71" ht="82.2" customHeight="1" x14ac:dyDescent="0.3">
      <c r="A8" s="9">
        <v>2</v>
      </c>
      <c r="B8" s="13" t="s">
        <v>855</v>
      </c>
      <c r="C8" s="17">
        <v>156700</v>
      </c>
      <c r="D8" s="3">
        <v>13977</v>
      </c>
      <c r="E8" s="3">
        <v>1896970698</v>
      </c>
      <c r="F8" s="3">
        <f>PRODUCT(C8,D8)-0.0088*(PRODUCT(C8,D8))</f>
        <v>2170922176.0799999</v>
      </c>
      <c r="G8" s="20">
        <f>F8/F$16</f>
        <v>0.132031512524169</v>
      </c>
      <c r="H8" s="16">
        <f>(F8/E8)-1</f>
        <v>0.14441523971289083</v>
      </c>
      <c r="I8" s="3">
        <f>F8-E8</f>
        <v>273951478.07999992</v>
      </c>
      <c r="J8" s="3">
        <f t="shared" si="16"/>
        <v>135720.87701223438</v>
      </c>
      <c r="K8" s="3"/>
      <c r="L8" s="3">
        <v>4511</v>
      </c>
      <c r="M8" s="3">
        <v>582120396</v>
      </c>
      <c r="N8" s="3">
        <f>PRODUCT(C8,L8)-0.0088*(PRODUCT(C8,L8))</f>
        <v>700653211.44000006</v>
      </c>
      <c r="O8" s="20">
        <f t="shared" si="0"/>
        <v>0.11605493376689192</v>
      </c>
      <c r="P8" s="16">
        <f t="shared" si="1"/>
        <v>0.20362250877050547</v>
      </c>
      <c r="Q8" s="3">
        <f t="shared" si="2"/>
        <v>118532815.44000006</v>
      </c>
      <c r="R8" s="3">
        <f t="shared" si="3"/>
        <v>129044.64553314121</v>
      </c>
      <c r="S8" s="3"/>
      <c r="T8" s="3">
        <v>4938</v>
      </c>
      <c r="U8" s="3">
        <v>788727941</v>
      </c>
      <c r="V8" s="3">
        <f>PRODUCT(C8,T8)-0.0088*(PRODUCT(C8,T8))</f>
        <v>766975295.51999998</v>
      </c>
      <c r="W8" s="20">
        <f>V8/V$16</f>
        <v>4.7817700238889552E-2</v>
      </c>
      <c r="X8" s="16">
        <f>(V8/U8)-1</f>
        <v>-2.7579402667566977E-2</v>
      </c>
      <c r="Y8" s="3">
        <f>V8-U8</f>
        <v>-21752645.480000019</v>
      </c>
      <c r="Z8" s="3">
        <f>U8/T8</f>
        <v>159726.19299311462</v>
      </c>
      <c r="AA8" s="3"/>
      <c r="AB8" s="3">
        <v>2720</v>
      </c>
      <c r="AC8" s="3">
        <v>428958392</v>
      </c>
      <c r="AD8" s="3">
        <f>PRODUCT(C8,AB8)-0.0088*(PRODUCT(C8,AB8))</f>
        <v>422473228.80000001</v>
      </c>
      <c r="AE8" s="20">
        <f>AD8/AD$16</f>
        <v>4.1665693808600267E-2</v>
      </c>
      <c r="AF8" s="16">
        <f>(AD8/AC8)-1</f>
        <v>-1.5118396844419291E-2</v>
      </c>
      <c r="AG8" s="3">
        <f>AD8-AC8</f>
        <v>-6485163.1999999881</v>
      </c>
      <c r="AH8" s="3">
        <f>AC8/AB8</f>
        <v>157705.29117647058</v>
      </c>
      <c r="AI8" s="3"/>
      <c r="AJ8" s="3">
        <v>5008</v>
      </c>
      <c r="AK8" s="3">
        <v>645966641</v>
      </c>
      <c r="AL8" s="3">
        <f t="shared" si="14"/>
        <v>777847768.32000005</v>
      </c>
      <c r="AM8" s="20">
        <f>AL8/AL$16</f>
        <v>5.1623497900263951E-2</v>
      </c>
      <c r="AN8" s="16">
        <f>(AL8/AK8)-1</f>
        <v>0.20416089461808618</v>
      </c>
      <c r="AO8" s="3">
        <f>AL8-AK8</f>
        <v>131881127.32000005</v>
      </c>
      <c r="AP8" s="3">
        <f>AK8/AJ8</f>
        <v>128986.94908146965</v>
      </c>
      <c r="AQ8" s="3"/>
      <c r="AR8" s="3">
        <v>10000</v>
      </c>
      <c r="AS8" s="3">
        <v>1385647640</v>
      </c>
      <c r="AT8" s="3">
        <f t="shared" si="15"/>
        <v>1553210400</v>
      </c>
      <c r="AU8" s="20">
        <f t="shared" si="4"/>
        <v>4.121883082160771E-2</v>
      </c>
      <c r="AV8" s="16">
        <f t="shared" si="5"/>
        <v>0.1209273953658232</v>
      </c>
      <c r="AW8" s="3">
        <f t="shared" si="6"/>
        <v>167562760</v>
      </c>
      <c r="AX8" s="3">
        <f>AS8/AR8</f>
        <v>138564.764</v>
      </c>
      <c r="AY8" s="3"/>
      <c r="AZ8" s="3"/>
      <c r="BA8" s="3">
        <f t="shared" si="7"/>
        <v>41154</v>
      </c>
      <c r="BB8" s="3">
        <f t="shared" si="8"/>
        <v>5728391708</v>
      </c>
      <c r="BC8" s="3">
        <f t="shared" si="9"/>
        <v>6392082080.1599998</v>
      </c>
      <c r="BD8" s="16">
        <f t="shared" si="10"/>
        <v>0.11585980952264863</v>
      </c>
      <c r="BE8" s="34">
        <f t="shared" si="11"/>
        <v>6.2545055427856794E-2</v>
      </c>
      <c r="BF8" s="3">
        <f t="shared" si="12"/>
        <v>663690372.15999985</v>
      </c>
      <c r="BG8" s="3">
        <f t="shared" si="13"/>
        <v>138548.18414916849</v>
      </c>
      <c r="BH8" s="3">
        <v>0</v>
      </c>
      <c r="BI8" s="3">
        <v>0</v>
      </c>
      <c r="BJ8" s="42">
        <v>0</v>
      </c>
      <c r="BK8" s="3"/>
      <c r="BM8" s="4">
        <v>0</v>
      </c>
      <c r="BN8" s="3">
        <v>0</v>
      </c>
      <c r="BO8" s="3">
        <f>(C8*BM8)-(0.0088*(C8*BM8))</f>
        <v>0</v>
      </c>
      <c r="BP8" s="20">
        <f>BO8/BO$16</f>
        <v>0</v>
      </c>
      <c r="BQ8" s="3">
        <f>BO8-BN8</f>
        <v>0</v>
      </c>
      <c r="BR8" s="16" t="e">
        <f>(BO8/BN8)-1</f>
        <v>#DIV/0!</v>
      </c>
      <c r="BS8" s="3">
        <v>0</v>
      </c>
    </row>
    <row r="9" spans="1:71" ht="79.8" customHeight="1" x14ac:dyDescent="0.3">
      <c r="A9" s="9"/>
      <c r="B9" s="13" t="s">
        <v>1209</v>
      </c>
      <c r="C9" s="17">
        <v>21260</v>
      </c>
      <c r="D9" s="3"/>
      <c r="E9" s="3"/>
      <c r="F9" s="3"/>
      <c r="G9" s="20"/>
      <c r="H9" s="16" t="e">
        <f>(F9/E9)-1</f>
        <v>#DIV/0!</v>
      </c>
      <c r="I9" s="3">
        <f>F9-E9</f>
        <v>0</v>
      </c>
      <c r="J9" s="3" t="e">
        <f t="shared" si="16"/>
        <v>#DIV/0!</v>
      </c>
      <c r="K9" s="3"/>
      <c r="L9" s="3"/>
      <c r="M9" s="3"/>
      <c r="N9" s="3"/>
      <c r="O9" s="20"/>
      <c r="P9" s="16"/>
      <c r="Q9" s="3"/>
      <c r="R9" s="3"/>
      <c r="S9" s="3"/>
      <c r="T9" s="3">
        <v>118360</v>
      </c>
      <c r="U9" s="3">
        <v>2533815817</v>
      </c>
      <c r="V9" s="3">
        <f>PRODUCT(C9,T9)-0.0088*(PRODUCT(C9,T9))</f>
        <v>2494189864.3200002</v>
      </c>
      <c r="W9" s="20">
        <f>V9/V$16</f>
        <v>0.15550230100966833</v>
      </c>
      <c r="X9" s="16">
        <f>(V9/U9)-1</f>
        <v>-1.563884494450607E-2</v>
      </c>
      <c r="Y9" s="3">
        <f>V9-U9</f>
        <v>-39625952.679999828</v>
      </c>
      <c r="Z9" s="3">
        <f>U9/T9</f>
        <v>21407.703759716122</v>
      </c>
      <c r="AA9" s="3"/>
      <c r="AB9" s="3"/>
      <c r="AC9" s="3"/>
      <c r="AD9" s="3"/>
      <c r="AE9" s="20"/>
      <c r="AF9" s="16"/>
      <c r="AG9" s="3"/>
      <c r="AH9" s="3"/>
      <c r="AI9" s="3"/>
      <c r="AJ9" s="3"/>
      <c r="AK9" s="3"/>
      <c r="AL9" s="3">
        <f t="shared" si="14"/>
        <v>21072.912</v>
      </c>
      <c r="AM9" s="20"/>
      <c r="AN9" s="16"/>
      <c r="AO9" s="3"/>
      <c r="AP9" s="3"/>
      <c r="AQ9" s="3"/>
      <c r="AR9" s="3">
        <v>0</v>
      </c>
      <c r="AS9" s="3">
        <v>0</v>
      </c>
      <c r="AT9" s="3">
        <f t="shared" si="15"/>
        <v>0</v>
      </c>
      <c r="AU9" s="20">
        <f t="shared" si="4"/>
        <v>0</v>
      </c>
      <c r="AV9" s="16">
        <v>0</v>
      </c>
      <c r="AW9" s="3">
        <f t="shared" si="6"/>
        <v>0</v>
      </c>
      <c r="AX9" s="3"/>
      <c r="AY9" s="3"/>
      <c r="AZ9" s="3"/>
      <c r="BA9" s="3">
        <f t="shared" si="7"/>
        <v>118360</v>
      </c>
      <c r="BB9" s="3">
        <f t="shared" si="8"/>
        <v>2533815817</v>
      </c>
      <c r="BC9" s="3">
        <f t="shared" si="9"/>
        <v>2494210937.2320004</v>
      </c>
      <c r="BD9" s="16">
        <f t="shared" si="10"/>
        <v>-1.5630528273713029E-2</v>
      </c>
      <c r="BE9" s="34">
        <f t="shared" si="11"/>
        <v>2.4405281309222059E-2</v>
      </c>
      <c r="BF9" s="3">
        <f t="shared" si="12"/>
        <v>-39604879.767999649</v>
      </c>
      <c r="BG9" s="3">
        <f t="shared" si="13"/>
        <v>21308.372014271037</v>
      </c>
      <c r="BH9" s="3"/>
      <c r="BI9" s="3"/>
      <c r="BJ9" s="3"/>
      <c r="BK9" s="3"/>
      <c r="BM9" s="4"/>
      <c r="BN9" s="3"/>
      <c r="BO9" s="3"/>
      <c r="BP9" s="20"/>
      <c r="BQ9" s="3"/>
      <c r="BR9" s="16"/>
      <c r="BS9" s="3"/>
    </row>
    <row r="10" spans="1:71" ht="80.099999999999994" customHeight="1" x14ac:dyDescent="0.3">
      <c r="A10" s="9">
        <v>6</v>
      </c>
      <c r="B10" s="13" t="s">
        <v>1207</v>
      </c>
      <c r="C10" s="17">
        <v>16450</v>
      </c>
      <c r="D10" s="3">
        <v>43017</v>
      </c>
      <c r="E10" s="3">
        <v>650620691</v>
      </c>
      <c r="F10" s="3">
        <f>PRODUCT(C10,D10)-0.0088*(PRODUCT(C10,D10))</f>
        <v>701402509.08000004</v>
      </c>
      <c r="G10" s="20">
        <f>F10/F$16</f>
        <v>4.2658016571233803E-2</v>
      </c>
      <c r="H10" s="16">
        <f>(F10/E10)-1</f>
        <v>7.805134202225994E-2</v>
      </c>
      <c r="I10" s="3">
        <f>F10-E10</f>
        <v>50781818.080000043</v>
      </c>
      <c r="J10" s="3">
        <f t="shared" si="16"/>
        <v>15124.734198107724</v>
      </c>
      <c r="K10" s="3"/>
      <c r="L10" s="3">
        <v>0</v>
      </c>
      <c r="M10" s="3">
        <v>0</v>
      </c>
      <c r="N10" s="3">
        <f>PRODUCT(C10,L10)-0.0088*(PRODUCT(C10,L10))</f>
        <v>0</v>
      </c>
      <c r="O10" s="20">
        <f>N10/N$16</f>
        <v>0</v>
      </c>
      <c r="P10" s="16">
        <v>0</v>
      </c>
      <c r="Q10" s="3">
        <f>N10-M10</f>
        <v>0</v>
      </c>
      <c r="R10" s="3" t="e">
        <f>M10/L10</f>
        <v>#DIV/0!</v>
      </c>
      <c r="S10" s="3"/>
      <c r="T10" s="3">
        <v>0</v>
      </c>
      <c r="U10" s="3">
        <v>0</v>
      </c>
      <c r="V10" s="3">
        <f>PRODUCT(C10,T10)-0.0088*(PRODUCT(C10,T10))</f>
        <v>0</v>
      </c>
      <c r="W10" s="20">
        <f>V10/V$16</f>
        <v>0</v>
      </c>
      <c r="X10" s="16">
        <v>0</v>
      </c>
      <c r="Y10" s="3">
        <f>V10-U10</f>
        <v>0</v>
      </c>
      <c r="Z10" s="3" t="e">
        <f>U10/T10</f>
        <v>#DIV/0!</v>
      </c>
      <c r="AA10" s="3"/>
      <c r="AB10" s="3">
        <v>0</v>
      </c>
      <c r="AC10" s="3">
        <v>0</v>
      </c>
      <c r="AD10" s="3">
        <f>PRODUCT(C10,AB10)-0.0088*(PRODUCT(C10,AB10))</f>
        <v>0</v>
      </c>
      <c r="AE10" s="20">
        <f>AD10/AD$16</f>
        <v>0</v>
      </c>
      <c r="AF10" s="16">
        <v>0</v>
      </c>
      <c r="AG10" s="3">
        <f>AD10-AC10</f>
        <v>0</v>
      </c>
      <c r="AH10" s="3">
        <v>0</v>
      </c>
      <c r="AI10" s="3"/>
      <c r="AJ10" s="3">
        <v>1000</v>
      </c>
      <c r="AK10" s="3">
        <v>0</v>
      </c>
      <c r="AL10" s="3">
        <f>(PRODUCT(C10,AJ10))</f>
        <v>16450000</v>
      </c>
      <c r="AM10" s="20">
        <f>AL10/AL$16</f>
        <v>1.0917387373797615E-3</v>
      </c>
      <c r="AN10" s="16">
        <v>0</v>
      </c>
      <c r="AO10" s="3">
        <v>0</v>
      </c>
      <c r="AP10" s="3">
        <f>AK10/AJ10</f>
        <v>0</v>
      </c>
      <c r="AQ10" s="3"/>
      <c r="AR10" s="3">
        <v>0</v>
      </c>
      <c r="AS10" s="3">
        <v>0</v>
      </c>
      <c r="AT10" s="3">
        <f t="shared" si="15"/>
        <v>0</v>
      </c>
      <c r="AU10" s="20">
        <f t="shared" si="4"/>
        <v>0</v>
      </c>
      <c r="AV10" s="16">
        <v>0</v>
      </c>
      <c r="AW10" s="3">
        <f t="shared" si="6"/>
        <v>0</v>
      </c>
      <c r="AX10" s="3" t="e">
        <f>AS10/AR10</f>
        <v>#DIV/0!</v>
      </c>
      <c r="AY10" s="3"/>
      <c r="AZ10" s="3"/>
      <c r="BA10" s="3">
        <f t="shared" si="7"/>
        <v>44017</v>
      </c>
      <c r="BB10" s="3">
        <f t="shared" si="8"/>
        <v>650620691</v>
      </c>
      <c r="BC10" s="3">
        <f t="shared" si="9"/>
        <v>717852509.08000004</v>
      </c>
      <c r="BD10" s="16">
        <f t="shared" si="10"/>
        <v>0.10333489083580361</v>
      </c>
      <c r="BE10" s="34">
        <f t="shared" si="11"/>
        <v>7.024021970680144E-3</v>
      </c>
      <c r="BF10" s="3">
        <f t="shared" si="12"/>
        <v>67231818.080000043</v>
      </c>
      <c r="BG10" s="3">
        <f t="shared" si="13"/>
        <v>14712.538587222209</v>
      </c>
      <c r="BH10" s="3"/>
      <c r="BI10" s="3"/>
      <c r="BJ10" s="42"/>
      <c r="BK10" s="3"/>
      <c r="BM10" s="4"/>
      <c r="BN10" s="3"/>
      <c r="BO10" s="3"/>
      <c r="BP10" s="20"/>
      <c r="BQ10" s="3"/>
      <c r="BR10" s="16"/>
      <c r="BS10" s="3"/>
    </row>
    <row r="11" spans="1:71" ht="80.099999999999994" customHeight="1" x14ac:dyDescent="0.3">
      <c r="A11" s="9"/>
      <c r="B11" s="13" t="s">
        <v>1194</v>
      </c>
      <c r="C11" s="17">
        <v>39140</v>
      </c>
      <c r="D11" s="3">
        <v>0</v>
      </c>
      <c r="E11" s="3">
        <v>0</v>
      </c>
      <c r="F11" s="3">
        <v>0</v>
      </c>
      <c r="G11" s="20">
        <v>0</v>
      </c>
      <c r="H11" s="16">
        <v>0</v>
      </c>
      <c r="I11" s="3">
        <v>0</v>
      </c>
      <c r="J11" s="3" t="e">
        <f t="shared" si="16"/>
        <v>#DIV/0!</v>
      </c>
      <c r="K11" s="3"/>
      <c r="L11" s="3"/>
      <c r="M11" s="3"/>
      <c r="N11" s="3"/>
      <c r="O11" s="20"/>
      <c r="P11" s="16"/>
      <c r="Q11" s="3"/>
      <c r="R11" s="3"/>
      <c r="S11" s="3"/>
      <c r="T11" s="3"/>
      <c r="U11" s="3"/>
      <c r="V11" s="3"/>
      <c r="W11" s="20"/>
      <c r="X11" s="16"/>
      <c r="Y11" s="3"/>
      <c r="Z11" s="3"/>
      <c r="AA11" s="3"/>
      <c r="AB11" s="3"/>
      <c r="AC11" s="3"/>
      <c r="AD11" s="3"/>
      <c r="AE11" s="20"/>
      <c r="AF11" s="16"/>
      <c r="AG11" s="3"/>
      <c r="AH11" s="3"/>
      <c r="AI11" s="3"/>
      <c r="AJ11" s="3"/>
      <c r="AK11" s="3"/>
      <c r="AL11" s="3">
        <f>PRODUCT(C11,AJ11)-0.0088*(PRODUCT(C11,AJ11))</f>
        <v>38795.567999999999</v>
      </c>
      <c r="AM11" s="20"/>
      <c r="AN11" s="16"/>
      <c r="AO11" s="3"/>
      <c r="AP11" s="3"/>
      <c r="AQ11" s="3"/>
      <c r="AR11" s="3">
        <v>14343</v>
      </c>
      <c r="AS11" s="3">
        <v>514953544</v>
      </c>
      <c r="AT11" s="3">
        <f t="shared" si="15"/>
        <v>556444831.824</v>
      </c>
      <c r="AU11" s="20">
        <f t="shared" si="4"/>
        <v>1.4766837374068196E-2</v>
      </c>
      <c r="AV11" s="16">
        <f>(AT11/AS11)-1</f>
        <v>8.0572875567975544E-2</v>
      </c>
      <c r="AW11" s="3">
        <f t="shared" si="6"/>
        <v>41491287.824000001</v>
      </c>
      <c r="AX11" s="3"/>
      <c r="AY11" s="3"/>
      <c r="AZ11" s="3"/>
      <c r="BA11" s="3">
        <f t="shared" si="7"/>
        <v>14343</v>
      </c>
      <c r="BB11" s="3">
        <f t="shared" si="8"/>
        <v>514953544</v>
      </c>
      <c r="BC11" s="3">
        <f t="shared" si="9"/>
        <v>556483627.39199996</v>
      </c>
      <c r="BD11" s="16">
        <f t="shared" si="10"/>
        <v>8.0648213563901505E-2</v>
      </c>
      <c r="BE11" s="34">
        <f t="shared" si="11"/>
        <v>5.4450645162954841E-3</v>
      </c>
      <c r="BF11" s="3">
        <f t="shared" si="12"/>
        <v>41530083.39199996</v>
      </c>
      <c r="BG11" s="3">
        <f t="shared" si="13"/>
        <v>35736.189050815032</v>
      </c>
      <c r="BH11" s="3"/>
      <c r="BI11" s="3"/>
      <c r="BJ11" s="3"/>
      <c r="BK11" s="3"/>
      <c r="BM11" s="4"/>
      <c r="BN11" s="3"/>
      <c r="BO11" s="3"/>
      <c r="BP11" s="20"/>
      <c r="BQ11" s="3"/>
      <c r="BR11" s="16"/>
      <c r="BS11" s="3"/>
    </row>
    <row r="12" spans="1:71" ht="80.099999999999994" customHeight="1" x14ac:dyDescent="0.3">
      <c r="A12" s="9">
        <v>10</v>
      </c>
      <c r="B12" s="13" t="s">
        <v>7</v>
      </c>
      <c r="C12" s="17">
        <v>27090</v>
      </c>
      <c r="D12" s="3">
        <v>10855</v>
      </c>
      <c r="E12" s="3">
        <v>536671333</v>
      </c>
      <c r="F12" s="3">
        <f>PRODUCT(C12,D12)-0.0088*(PRODUCT(C12,D12))</f>
        <v>291474204.83999997</v>
      </c>
      <c r="G12" s="20">
        <f>F12/F$16</f>
        <v>1.7726927547579902E-2</v>
      </c>
      <c r="H12" s="16">
        <f>(F12/E12)-1</f>
        <v>-0.45688508605321765</v>
      </c>
      <c r="I12" s="3">
        <f>F12-E12</f>
        <v>-245197128.16000003</v>
      </c>
      <c r="J12" s="3">
        <f t="shared" si="16"/>
        <v>49440.012252418237</v>
      </c>
      <c r="K12" s="3"/>
      <c r="L12" s="3">
        <v>0</v>
      </c>
      <c r="M12" s="3">
        <v>0</v>
      </c>
      <c r="N12" s="3">
        <f>PRODUCT(C12,L12)-0.0088*(PRODUCT(C12,L12))</f>
        <v>0</v>
      </c>
      <c r="O12" s="20">
        <f>N12/N$16</f>
        <v>0</v>
      </c>
      <c r="P12" s="16" t="e">
        <f>(N12/M12)-1</f>
        <v>#DIV/0!</v>
      </c>
      <c r="Q12" s="3">
        <f>N12-M12</f>
        <v>0</v>
      </c>
      <c r="R12" s="3" t="e">
        <f>M12/L12</f>
        <v>#DIV/0!</v>
      </c>
      <c r="S12" s="3"/>
      <c r="T12" s="3">
        <v>972</v>
      </c>
      <c r="U12" s="3">
        <v>50727572</v>
      </c>
      <c r="V12" s="3">
        <f>PRODUCT(C12,T12)-0.0088*(PRODUCT(C12,T12))</f>
        <v>26099762.976</v>
      </c>
      <c r="W12" s="20">
        <f>V12/V$16</f>
        <v>1.6272110061201985E-3</v>
      </c>
      <c r="X12" s="16">
        <f>(V12/U12)-1</f>
        <v>-0.48549157889914385</v>
      </c>
      <c r="Y12" s="3">
        <f>V12-U12</f>
        <v>-24627809.024</v>
      </c>
      <c r="Z12" s="3">
        <f>U12/T12</f>
        <v>52188.860082304527</v>
      </c>
      <c r="AA12" s="3"/>
      <c r="AB12" s="3">
        <v>0</v>
      </c>
      <c r="AC12" s="3">
        <v>0</v>
      </c>
      <c r="AD12" s="3">
        <f>PRODUCT(C12,AB12)-0.0088*(PRODUCT(C12,AB12))</f>
        <v>0</v>
      </c>
      <c r="AE12" s="20">
        <f>AD12/AD$16</f>
        <v>0</v>
      </c>
      <c r="AF12" s="16" t="e">
        <f>(AD12/AC12)-1</f>
        <v>#DIV/0!</v>
      </c>
      <c r="AG12" s="3">
        <f>AD12-AC12</f>
        <v>0</v>
      </c>
      <c r="AH12" s="3" t="e">
        <f>AC12/AB12</f>
        <v>#DIV/0!</v>
      </c>
      <c r="AI12" s="3"/>
      <c r="AJ12" s="3">
        <v>0</v>
      </c>
      <c r="AK12" s="3">
        <v>0</v>
      </c>
      <c r="AL12" s="3">
        <f>PRODUCT(C12,AJ12)-0.0088*(PRODUCT(C12,AJ12))</f>
        <v>0</v>
      </c>
      <c r="AM12" s="20">
        <f>AL12/AL$16</f>
        <v>0</v>
      </c>
      <c r="AN12" s="16" t="e">
        <f>(AL12/AK12)-1</f>
        <v>#DIV/0!</v>
      </c>
      <c r="AO12" s="3">
        <f>AL12-AK12</f>
        <v>0</v>
      </c>
      <c r="AP12" s="3" t="e">
        <f>AK12/AJ12</f>
        <v>#DIV/0!</v>
      </c>
      <c r="AQ12" s="3"/>
      <c r="AR12" s="3">
        <v>6816</v>
      </c>
      <c r="AS12" s="3">
        <v>336995523</v>
      </c>
      <c r="AT12" s="3">
        <f t="shared" si="15"/>
        <v>183020560.12799999</v>
      </c>
      <c r="AU12" s="20">
        <f t="shared" si="4"/>
        <v>4.8569681897519578E-3</v>
      </c>
      <c r="AV12" s="16">
        <f>(AT12/AS12)-1</f>
        <v>-0.45690506954301591</v>
      </c>
      <c r="AW12" s="3">
        <f t="shared" si="6"/>
        <v>-153974962.87200001</v>
      </c>
      <c r="AX12" s="3">
        <f>AS12/AR12</f>
        <v>49441.831426056335</v>
      </c>
      <c r="AY12" s="3"/>
      <c r="AZ12" s="3"/>
      <c r="BA12" s="3">
        <f t="shared" si="7"/>
        <v>18643</v>
      </c>
      <c r="BB12" s="3">
        <f t="shared" si="8"/>
        <v>924394428</v>
      </c>
      <c r="BC12" s="3">
        <f t="shared" si="9"/>
        <v>500594527.94400001</v>
      </c>
      <c r="BD12" s="16">
        <f t="shared" si="10"/>
        <v>-0.4584621966760708</v>
      </c>
      <c r="BE12" s="34">
        <f t="shared" si="11"/>
        <v>4.8982025112474107E-3</v>
      </c>
      <c r="BF12" s="3">
        <f t="shared" si="12"/>
        <v>-423799900.05599999</v>
      </c>
      <c r="BG12" s="3">
        <f t="shared" si="13"/>
        <v>49353.925755193908</v>
      </c>
      <c r="BH12" s="3">
        <v>0</v>
      </c>
      <c r="BI12" s="3">
        <v>0</v>
      </c>
      <c r="BJ12" s="3">
        <v>0</v>
      </c>
      <c r="BK12" s="3"/>
      <c r="BM12" s="106">
        <v>0</v>
      </c>
      <c r="BN12" s="3">
        <v>0</v>
      </c>
      <c r="BO12" s="3">
        <f>(C12*BM12)-(0.0088*(C12*BM12))</f>
        <v>0</v>
      </c>
      <c r="BP12" s="20">
        <f>BO12/BO$16</f>
        <v>0</v>
      </c>
      <c r="BQ12" s="3">
        <f>BO12-BN12</f>
        <v>0</v>
      </c>
      <c r="BR12" s="16" t="e">
        <f>(BO12/BN12)-1</f>
        <v>#DIV/0!</v>
      </c>
      <c r="BS12" s="3">
        <v>0</v>
      </c>
    </row>
    <row r="13" spans="1:71" ht="80.099999999999994" customHeight="1" x14ac:dyDescent="0.3">
      <c r="A13" s="9">
        <v>13</v>
      </c>
      <c r="B13" s="13" t="s">
        <v>856</v>
      </c>
      <c r="C13" s="17">
        <v>1000</v>
      </c>
      <c r="D13" s="3">
        <v>5037</v>
      </c>
      <c r="E13" s="3">
        <v>5037000</v>
      </c>
      <c r="F13" s="3">
        <v>5037000</v>
      </c>
      <c r="G13" s="20">
        <f>F13/F$16</f>
        <v>3.0634111895484729E-4</v>
      </c>
      <c r="H13" s="16">
        <f>(F13/E13)-1</f>
        <v>0</v>
      </c>
      <c r="I13" s="3">
        <f>F13-E13</f>
        <v>0</v>
      </c>
      <c r="J13" s="3">
        <f t="shared" si="16"/>
        <v>1000</v>
      </c>
      <c r="K13" s="3"/>
      <c r="L13" s="3">
        <v>5055</v>
      </c>
      <c r="M13" s="3">
        <v>5055000</v>
      </c>
      <c r="N13" s="3">
        <f>PRODUCT(C13,L13)-0.0088*(PRODUCT(C13,L13))</f>
        <v>5010516</v>
      </c>
      <c r="O13" s="20">
        <f>N13/N$16</f>
        <v>8.2993282985579825E-4</v>
      </c>
      <c r="P13" s="16">
        <f>(N13/M13)-1</f>
        <v>-8.80000000000003E-3</v>
      </c>
      <c r="Q13" s="3">
        <f>N13-M13</f>
        <v>-44484</v>
      </c>
      <c r="R13" s="3">
        <f>M13/L13</f>
        <v>1000</v>
      </c>
      <c r="S13" s="3"/>
      <c r="T13" s="3">
        <v>2023</v>
      </c>
      <c r="U13" s="3">
        <v>2023000</v>
      </c>
      <c r="V13" s="3">
        <v>2023000</v>
      </c>
      <c r="W13" s="20">
        <f>V13/V$16</f>
        <v>1.2612558468090977E-4</v>
      </c>
      <c r="X13" s="16">
        <f>(V13/U13)-1</f>
        <v>0</v>
      </c>
      <c r="Y13" s="3">
        <f>V13-U13</f>
        <v>0</v>
      </c>
      <c r="Z13" s="3">
        <f>U13/T13</f>
        <v>1000</v>
      </c>
      <c r="AA13" s="3"/>
      <c r="AB13" s="3">
        <v>5061</v>
      </c>
      <c r="AC13" s="3">
        <v>5061000</v>
      </c>
      <c r="AD13" s="3">
        <v>5061000</v>
      </c>
      <c r="AE13" s="20">
        <f>AD13/AD$16</f>
        <v>4.9913239938134029E-4</v>
      </c>
      <c r="AF13" s="16">
        <f>(AD13/AC13)-1</f>
        <v>0</v>
      </c>
      <c r="AG13" s="3">
        <f>AD13-AC13</f>
        <v>0</v>
      </c>
      <c r="AH13" s="3">
        <f>AC13/AB13</f>
        <v>1000</v>
      </c>
      <c r="AI13" s="3"/>
      <c r="AJ13" s="3">
        <v>5159</v>
      </c>
      <c r="AK13" s="3">
        <v>5159000</v>
      </c>
      <c r="AL13" s="3">
        <f>PRODUCT(C13,AJ13)-0.0088*(PRODUCT(C13,AJ13))</f>
        <v>5113600.8</v>
      </c>
      <c r="AM13" s="20">
        <f>AL13/AL$16</f>
        <v>3.3937483774201447E-4</v>
      </c>
      <c r="AN13" s="16">
        <f>(AL13/AK13)-1</f>
        <v>-8.80000000000003E-3</v>
      </c>
      <c r="AO13" s="3">
        <f>AL13-AK13</f>
        <v>-45399.200000000186</v>
      </c>
      <c r="AP13" s="3">
        <f>AK13/AJ13</f>
        <v>1000</v>
      </c>
      <c r="AQ13" s="3"/>
      <c r="AR13" s="3">
        <v>3000</v>
      </c>
      <c r="AS13" s="3">
        <v>3000000</v>
      </c>
      <c r="AT13" s="3">
        <f t="shared" si="15"/>
        <v>2973600</v>
      </c>
      <c r="AU13" s="20">
        <f t="shared" si="4"/>
        <v>7.8912886065617829E-5</v>
      </c>
      <c r="AV13" s="16">
        <f>(AT13/AS13)-1</f>
        <v>-8.80000000000003E-3</v>
      </c>
      <c r="AW13" s="3">
        <f t="shared" si="6"/>
        <v>-26400</v>
      </c>
      <c r="AX13" s="3">
        <f>AS13/AR13</f>
        <v>1000</v>
      </c>
      <c r="AY13" s="3"/>
      <c r="AZ13" s="3"/>
      <c r="BA13" s="3">
        <f t="shared" si="7"/>
        <v>25335</v>
      </c>
      <c r="BB13" s="3">
        <f t="shared" si="8"/>
        <v>25335000</v>
      </c>
      <c r="BC13" s="3">
        <f t="shared" si="9"/>
        <v>25218716.800000001</v>
      </c>
      <c r="BD13" s="16">
        <f t="shared" si="10"/>
        <v>-4.589824353660954E-3</v>
      </c>
      <c r="BE13" s="34">
        <f t="shared" si="11"/>
        <v>2.4675935325848349E-4</v>
      </c>
      <c r="BF13" s="3">
        <f t="shared" si="12"/>
        <v>-116283.19999999925</v>
      </c>
      <c r="BG13" s="3">
        <f t="shared" si="13"/>
        <v>995.36</v>
      </c>
      <c r="BH13" s="3">
        <v>0</v>
      </c>
      <c r="BI13" s="3">
        <v>0</v>
      </c>
      <c r="BJ13" s="3">
        <v>0</v>
      </c>
      <c r="BK13" s="3"/>
      <c r="BM13" s="121">
        <v>4767</v>
      </c>
      <c r="BN13" s="3">
        <v>4767000</v>
      </c>
      <c r="BO13" s="3">
        <v>4767000</v>
      </c>
      <c r="BP13" s="20">
        <f>BO13/BO$16</f>
        <v>1.0045311857448641E-2</v>
      </c>
      <c r="BQ13" s="3">
        <f>BO13-BN13</f>
        <v>0</v>
      </c>
      <c r="BR13" s="16">
        <f>(BO13/BN13)-1</f>
        <v>0</v>
      </c>
      <c r="BS13" s="3">
        <v>0</v>
      </c>
    </row>
    <row r="14" spans="1:71" ht="80.099999999999994" customHeight="1" x14ac:dyDescent="0.3">
      <c r="A14" s="9">
        <v>9</v>
      </c>
      <c r="B14" s="13" t="s">
        <v>717</v>
      </c>
      <c r="C14" s="17">
        <v>45137</v>
      </c>
      <c r="D14" s="3">
        <v>0</v>
      </c>
      <c r="E14" s="3">
        <v>0</v>
      </c>
      <c r="F14" s="3">
        <f>PRODUCT(C14,D14)-0.0001675*(PRODUCT(C14,D14))</f>
        <v>0</v>
      </c>
      <c r="G14" s="20">
        <f>F14/F$16</f>
        <v>0</v>
      </c>
      <c r="H14" s="16" t="e">
        <f>(F14/E14)-1</f>
        <v>#DIV/0!</v>
      </c>
      <c r="I14" s="3">
        <f>F14-E14</f>
        <v>0</v>
      </c>
      <c r="J14" s="3" t="e">
        <f t="shared" si="16"/>
        <v>#DIV/0!</v>
      </c>
      <c r="K14" s="3"/>
      <c r="L14" s="3">
        <v>0</v>
      </c>
      <c r="M14" s="3">
        <v>0</v>
      </c>
      <c r="N14" s="3">
        <f>PRODUCT(C14,L14)-0.0001675*(PRODUCT(C14,L14))</f>
        <v>0</v>
      </c>
      <c r="O14" s="20">
        <f>N14/N$16</f>
        <v>0</v>
      </c>
      <c r="P14" s="16" t="e">
        <f>(N14/M14)-1</f>
        <v>#DIV/0!</v>
      </c>
      <c r="Q14" s="3">
        <f>N14-M14</f>
        <v>0</v>
      </c>
      <c r="R14" s="3" t="e">
        <f>M14/L14</f>
        <v>#DIV/0!</v>
      </c>
      <c r="S14" s="3"/>
      <c r="T14" s="3">
        <v>0</v>
      </c>
      <c r="U14" s="3">
        <v>0</v>
      </c>
      <c r="V14" s="3">
        <f>PRODUCT(C14,T14)-0.0001675*(PRODUCT(C14,T14))</f>
        <v>0</v>
      </c>
      <c r="W14" s="20">
        <f>V14/V$16</f>
        <v>0</v>
      </c>
      <c r="X14" s="16" t="e">
        <f>(V14/U14)-1</f>
        <v>#DIV/0!</v>
      </c>
      <c r="Y14" s="3">
        <f>V14-U14</f>
        <v>0</v>
      </c>
      <c r="Z14" s="3" t="e">
        <f>U14/T14</f>
        <v>#DIV/0!</v>
      </c>
      <c r="AA14" s="3"/>
      <c r="AB14" s="3">
        <v>0</v>
      </c>
      <c r="AC14" s="3">
        <v>0</v>
      </c>
      <c r="AD14" s="3">
        <f>PRODUCT(C14,AB14)-0.0001675*(PRODUCT(C14,AB14))</f>
        <v>0</v>
      </c>
      <c r="AE14" s="20">
        <f>AD14/AD$16</f>
        <v>0</v>
      </c>
      <c r="AF14" s="16" t="e">
        <f>(AD14/AC14)-1</f>
        <v>#DIV/0!</v>
      </c>
      <c r="AG14" s="3">
        <f>AD14-AC14</f>
        <v>0</v>
      </c>
      <c r="AH14" s="3" t="e">
        <f>AC14/AB14</f>
        <v>#DIV/0!</v>
      </c>
      <c r="AI14" s="3"/>
      <c r="AJ14" s="3">
        <v>0</v>
      </c>
      <c r="AK14" s="3">
        <v>0</v>
      </c>
      <c r="AL14" s="3">
        <f>PRODUCT(C14,AJ14)-0.0088*(PRODUCT(C14,AJ14))</f>
        <v>0</v>
      </c>
      <c r="AM14" s="20">
        <f>AL14/AL$16</f>
        <v>0</v>
      </c>
      <c r="AN14" s="16" t="e">
        <f>(AL14/AK14)-1</f>
        <v>#DIV/0!</v>
      </c>
      <c r="AO14" s="3">
        <f>AL14-AK14</f>
        <v>0</v>
      </c>
      <c r="AP14" s="3" t="e">
        <f>AK14/AJ14</f>
        <v>#DIV/0!</v>
      </c>
      <c r="AQ14" s="3"/>
      <c r="AR14" s="3">
        <v>0</v>
      </c>
      <c r="AS14" s="3">
        <v>0</v>
      </c>
      <c r="AT14" s="3">
        <f>PRODUCT(C14,AR14)-0.0001675*(PRODUCT(C14,AR14))</f>
        <v>0</v>
      </c>
      <c r="AU14" s="20">
        <f t="shared" si="4"/>
        <v>0</v>
      </c>
      <c r="AV14" s="16">
        <v>0</v>
      </c>
      <c r="AW14" s="3">
        <f t="shared" si="6"/>
        <v>0</v>
      </c>
      <c r="AX14" s="3"/>
      <c r="AY14" s="3"/>
      <c r="AZ14" s="3"/>
      <c r="BA14" s="3">
        <f t="shared" si="7"/>
        <v>0</v>
      </c>
      <c r="BB14" s="3">
        <f t="shared" si="8"/>
        <v>0</v>
      </c>
      <c r="BC14" s="3">
        <f t="shared" si="9"/>
        <v>0</v>
      </c>
      <c r="BD14" s="16">
        <v>0</v>
      </c>
      <c r="BE14" s="34">
        <f t="shared" si="11"/>
        <v>0</v>
      </c>
      <c r="BF14" s="3">
        <f t="shared" si="12"/>
        <v>0</v>
      </c>
      <c r="BG14" s="3">
        <v>0</v>
      </c>
      <c r="BH14" s="3">
        <v>0</v>
      </c>
      <c r="BI14" s="3">
        <v>0</v>
      </c>
      <c r="BJ14" s="3">
        <v>0</v>
      </c>
      <c r="BK14" s="3"/>
      <c r="BM14" s="86">
        <v>0</v>
      </c>
      <c r="BN14" s="3">
        <v>0</v>
      </c>
      <c r="BO14" s="3">
        <f>PRODUCT(C14,BM14)-0.0001675*(PRODUCT(AE14,BM14))</f>
        <v>0</v>
      </c>
      <c r="BP14" s="20">
        <f>BO14/BO$16</f>
        <v>0</v>
      </c>
      <c r="BQ14" s="3">
        <f>BO14-BN14</f>
        <v>0</v>
      </c>
      <c r="BR14" s="16" t="e">
        <f>(BO14/BN14)-1</f>
        <v>#DIV/0!</v>
      </c>
      <c r="BS14" s="3">
        <v>0</v>
      </c>
    </row>
    <row r="15" spans="1:71" s="21" customFormat="1" ht="80.099999999999994" customHeight="1" x14ac:dyDescent="0.3">
      <c r="A15" s="1"/>
      <c r="B15" s="18"/>
      <c r="C15" s="2"/>
      <c r="D15" s="3"/>
      <c r="E15" s="3"/>
      <c r="F15" s="3"/>
      <c r="G15" s="19"/>
      <c r="H15" s="16"/>
      <c r="I15" s="19"/>
      <c r="J15" s="19"/>
      <c r="K15" s="3"/>
      <c r="L15" s="3"/>
      <c r="M15" s="3"/>
      <c r="N15" s="3"/>
      <c r="O15" s="19"/>
      <c r="P15" s="16"/>
      <c r="Q15" s="19"/>
      <c r="R15" s="19"/>
      <c r="S15" s="3"/>
      <c r="T15" s="3"/>
      <c r="U15" s="3"/>
      <c r="V15" s="3"/>
      <c r="W15" s="19"/>
      <c r="X15" s="16"/>
      <c r="Y15" s="19"/>
      <c r="Z15" s="19"/>
      <c r="AA15" s="3"/>
      <c r="AB15" s="3"/>
      <c r="AC15" s="3"/>
      <c r="AD15" s="3"/>
      <c r="AE15" s="19"/>
      <c r="AF15" s="16"/>
      <c r="AG15" s="19"/>
      <c r="AH15" s="19"/>
      <c r="AI15" s="3"/>
      <c r="AJ15" s="3"/>
      <c r="AK15" s="3"/>
      <c r="AL15" s="3"/>
      <c r="AM15" s="19"/>
      <c r="AN15" s="16"/>
      <c r="AO15" s="19"/>
      <c r="AP15" s="19"/>
      <c r="AQ15" s="3"/>
      <c r="AR15" s="3"/>
      <c r="AS15" s="3"/>
      <c r="AT15" s="3"/>
      <c r="AU15" s="19"/>
      <c r="AV15" s="16"/>
      <c r="AW15" s="19"/>
      <c r="AX15" s="19"/>
      <c r="AY15" s="19"/>
      <c r="AZ15" s="19"/>
      <c r="BA15" s="3"/>
      <c r="BB15" s="3"/>
      <c r="BC15" s="3"/>
      <c r="BD15" s="5"/>
      <c r="BE15" s="16"/>
      <c r="BF15" s="8"/>
      <c r="BG15" s="3"/>
      <c r="BH15" s="3"/>
      <c r="BI15" s="3"/>
      <c r="BJ15" s="3"/>
      <c r="BK15" s="3"/>
      <c r="BL15" s="1"/>
      <c r="BM15" s="4"/>
      <c r="BN15" s="7"/>
      <c r="BO15" s="3"/>
      <c r="BP15" s="19"/>
      <c r="BQ15" s="3"/>
      <c r="BR15" s="5"/>
      <c r="BS15" s="1"/>
    </row>
    <row r="16" spans="1:71" ht="58.8" x14ac:dyDescent="0.3">
      <c r="A16" s="21"/>
      <c r="B16" s="22" t="s">
        <v>8</v>
      </c>
      <c r="C16" s="23"/>
      <c r="D16" s="23">
        <f>SUM(D3:D15)</f>
        <v>398777</v>
      </c>
      <c r="E16" s="23">
        <f>SUM(E3:E15)</f>
        <v>8150302979</v>
      </c>
      <c r="F16" s="23">
        <f>SUM(F3:F15)</f>
        <v>16442454794.135622</v>
      </c>
      <c r="G16" s="24">
        <f>SUM(G3:G15)</f>
        <v>0.89577190627209557</v>
      </c>
      <c r="H16" s="21"/>
      <c r="I16" s="26">
        <f>SUM(I3:I15)</f>
        <v>8292151815.135623</v>
      </c>
      <c r="J16" s="23"/>
      <c r="K16" s="23"/>
      <c r="L16" s="23">
        <f>SUM(L3:L15)</f>
        <v>232756</v>
      </c>
      <c r="M16" s="23">
        <f>SUM(M3:M15)</f>
        <v>2777963172</v>
      </c>
      <c r="N16" s="23">
        <f>SUM(N3:N15)</f>
        <v>6037254847.3237076</v>
      </c>
      <c r="O16" s="24">
        <f>SUM(O3:O15)</f>
        <v>1.0000000000000002</v>
      </c>
      <c r="P16" s="21"/>
      <c r="Q16" s="26">
        <f>SUM(Q3:Q15)</f>
        <v>3259291675.3237081</v>
      </c>
      <c r="R16" s="26"/>
      <c r="S16" s="23"/>
      <c r="T16" s="23">
        <f>SUM(T3:T15)</f>
        <v>554560</v>
      </c>
      <c r="U16" s="23">
        <f>SUM(U3:U15)</f>
        <v>9758200588</v>
      </c>
      <c r="V16" s="23">
        <f>SUM(V3:V15)</f>
        <v>16039568856.057791</v>
      </c>
      <c r="W16" s="24">
        <f>SUM(W3:W15)</f>
        <v>0.81684530903768726</v>
      </c>
      <c r="X16" s="21"/>
      <c r="Y16" s="26">
        <f>SUM(Y3:Y15)</f>
        <v>6281368268.0577888</v>
      </c>
      <c r="Z16" s="26"/>
      <c r="AA16" s="23"/>
      <c r="AB16" s="23">
        <f>SUM(AB3:AB15)</f>
        <v>70929</v>
      </c>
      <c r="AC16" s="23">
        <f>SUM(AC3:AC15)</f>
        <v>3649358001</v>
      </c>
      <c r="AD16" s="23">
        <f>SUM(AD3:AD15)</f>
        <v>10139594236.465031</v>
      </c>
      <c r="AE16" s="24">
        <f>SUM(AE3:AE15)</f>
        <v>1</v>
      </c>
      <c r="AF16" s="21"/>
      <c r="AG16" s="26">
        <f>SUM(AG3:AG15)</f>
        <v>6490236235.4650316</v>
      </c>
      <c r="AH16" s="43"/>
      <c r="AI16" s="23"/>
      <c r="AJ16" s="23">
        <f>SUM(AJ3:AJ15)</f>
        <v>241034</v>
      </c>
      <c r="AK16" s="23">
        <f>SUM(AK3:AK15)</f>
        <v>7284010805</v>
      </c>
      <c r="AL16" s="23">
        <f>SUM(AL3:AL15)</f>
        <v>15067707535.486914</v>
      </c>
      <c r="AM16" s="24">
        <f>SUM(AM3:AM15)</f>
        <v>0.999995476098548</v>
      </c>
      <c r="AN16" s="21"/>
      <c r="AO16" s="26">
        <f>SUM(AO3:AO15)</f>
        <v>7767178565.6629124</v>
      </c>
      <c r="AP16" s="26"/>
      <c r="AQ16" s="23"/>
      <c r="AR16" s="23">
        <f>SUM(AR3:AR15)</f>
        <v>2000301</v>
      </c>
      <c r="AS16" s="23">
        <f>SUM(AS3:AS15)</f>
        <v>22272663558</v>
      </c>
      <c r="AT16" s="23">
        <f>SUM(AT3:AT15)</f>
        <v>37682058637.766525</v>
      </c>
      <c r="AU16" s="24">
        <f>SUM(AU3:AU15)</f>
        <v>1.0000000000000002</v>
      </c>
      <c r="AV16" s="21"/>
      <c r="AW16" s="26">
        <f>SUM(AW3:AW15)</f>
        <v>15409395079.766533</v>
      </c>
      <c r="AX16" s="26"/>
      <c r="AY16" s="23"/>
      <c r="AZ16" s="23"/>
      <c r="BA16" s="23">
        <f>SUM(BA3:BA15)</f>
        <v>3498357</v>
      </c>
      <c r="BB16" s="23">
        <f>SUM(BB3:BB15)</f>
        <v>53892499103</v>
      </c>
      <c r="BC16" s="23">
        <f>SUM(BC3:BC15)</f>
        <v>101408638907.2356</v>
      </c>
      <c r="BD16" s="25">
        <f>(BC16/BB16)-1</f>
        <v>0.88168373326726179</v>
      </c>
      <c r="BE16" s="25">
        <f>SUM(BE3:BE15)</f>
        <v>0.99226024662652712</v>
      </c>
      <c r="BF16" s="26">
        <f>SUM(BF3:BF15)</f>
        <v>47516139804.235603</v>
      </c>
      <c r="BG16" s="26"/>
      <c r="BH16" s="26"/>
      <c r="BI16" s="26">
        <f>SUM(BI3:BI15)</f>
        <v>0</v>
      </c>
      <c r="BJ16" s="26"/>
      <c r="BK16" s="26"/>
      <c r="BL16" s="27" t="s">
        <v>21</v>
      </c>
      <c r="BM16" s="23">
        <f>SUM(BM3:BM15)</f>
        <v>7845</v>
      </c>
      <c r="BN16" s="23">
        <f>SUM(BN3:BN15)</f>
        <v>129832782</v>
      </c>
      <c r="BO16" s="23">
        <f>SUM(BO3:BO15)</f>
        <v>474549727.04159999</v>
      </c>
      <c r="BP16" s="24">
        <f>SUM(BP3:BP15)</f>
        <v>1</v>
      </c>
      <c r="BQ16" s="28"/>
      <c r="BR16" s="25">
        <f>(BO16/BN16)-1</f>
        <v>2.6550840221662968</v>
      </c>
      <c r="BS16" s="26">
        <v>0</v>
      </c>
    </row>
    <row r="17" spans="5:69" ht="58.8" x14ac:dyDescent="0.3">
      <c r="F17" s="15">
        <f>F16/BC16</f>
        <v>0.16214057274919641</v>
      </c>
      <c r="G17" s="2"/>
      <c r="I17" s="36">
        <f>(F16/E16)-1</f>
        <v>1.0174041181660498</v>
      </c>
      <c r="K17" s="6"/>
      <c r="N17" s="15">
        <f>N16/BC16</f>
        <v>5.9533930367079844E-2</v>
      </c>
      <c r="O17" s="2"/>
      <c r="Q17" s="36">
        <f>(N16/M16)-1</f>
        <v>1.173266697044502</v>
      </c>
      <c r="S17" s="6"/>
      <c r="V17" s="15">
        <f>V16/BC16</f>
        <v>0.15816767712196711</v>
      </c>
      <c r="W17" s="2"/>
      <c r="Y17" s="36">
        <f>(V16/U16)-1</f>
        <v>0.6437014910087222</v>
      </c>
      <c r="Z17" s="36"/>
      <c r="AA17" s="6"/>
      <c r="AD17" s="15">
        <f>AD16/BC16</f>
        <v>9.9987479821520037E-2</v>
      </c>
      <c r="AE17" s="2"/>
      <c r="AG17" s="36">
        <f>(AD16/AC16)-1</f>
        <v>1.778459727351104</v>
      </c>
      <c r="AH17" s="36"/>
      <c r="AI17" s="6"/>
      <c r="AL17" s="15">
        <f>AL16/BC16</f>
        <v>0.14858406244136879</v>
      </c>
      <c r="AM17" s="2"/>
      <c r="AO17" s="36">
        <f>(AL16/AK16)-1</f>
        <v>1.0686003822432433</v>
      </c>
      <c r="AQ17" s="6"/>
      <c r="AT17" s="15">
        <f>AT16/BC16</f>
        <v>0.3715862774988678</v>
      </c>
      <c r="AU17" s="2"/>
      <c r="AW17" s="36">
        <f>(AT16/AS16)-1</f>
        <v>0.69185237049170567</v>
      </c>
      <c r="BC17" s="2">
        <f>SUM(AT16+AL16+AD16+V16+N16+F16)</f>
        <v>101408638907.2356</v>
      </c>
      <c r="BE17" s="16"/>
      <c r="BF17" s="3">
        <f>BC16-BB16</f>
        <v>47516139804.235596</v>
      </c>
      <c r="BP17" s="19"/>
    </row>
    <row r="18" spans="5:69" ht="58.8" x14ac:dyDescent="0.3">
      <c r="E18" s="1" t="s">
        <v>24</v>
      </c>
      <c r="F18" s="2">
        <v>0</v>
      </c>
      <c r="G18" s="36"/>
      <c r="I18" s="39"/>
      <c r="K18" s="2"/>
      <c r="L18" s="2"/>
      <c r="M18" s="1" t="s">
        <v>24</v>
      </c>
      <c r="N18" s="2">
        <v>0</v>
      </c>
      <c r="O18" s="36"/>
      <c r="Q18" s="36"/>
      <c r="S18" s="2"/>
      <c r="T18" s="2"/>
      <c r="U18" s="1" t="s">
        <v>24</v>
      </c>
      <c r="V18" s="2">
        <v>0</v>
      </c>
      <c r="W18" s="36"/>
      <c r="Y18" s="36"/>
      <c r="Z18" s="36"/>
      <c r="AA18" s="2"/>
      <c r="AB18" s="2"/>
      <c r="AC18" s="1" t="s">
        <v>24</v>
      </c>
      <c r="AD18" s="2">
        <v>30000000</v>
      </c>
      <c r="AE18" s="36"/>
      <c r="AG18" s="36"/>
      <c r="AH18" s="36"/>
      <c r="AI18" s="2"/>
      <c r="AJ18" s="2"/>
      <c r="AK18" s="1" t="s">
        <v>24</v>
      </c>
      <c r="AL18" s="23">
        <v>700000000</v>
      </c>
      <c r="AM18" s="36"/>
      <c r="AO18" s="36"/>
      <c r="AQ18" s="2"/>
      <c r="AR18" s="2">
        <v>61000000</v>
      </c>
      <c r="AS18" s="1" t="s">
        <v>24</v>
      </c>
      <c r="AT18" s="2">
        <f>AR18+AR19</f>
        <v>61000000</v>
      </c>
      <c r="AU18" s="36"/>
      <c r="AW18" s="36"/>
      <c r="BB18" s="2" t="s">
        <v>15</v>
      </c>
      <c r="BC18" s="2">
        <f>(BC21+(0.03*BC16))+BI16</f>
        <v>105241898074.45267</v>
      </c>
      <c r="BE18" s="16"/>
      <c r="BL18" s="1" t="s">
        <v>18</v>
      </c>
      <c r="BM18" s="2">
        <v>30000000</v>
      </c>
      <c r="BP18" s="19"/>
    </row>
    <row r="19" spans="5:69" ht="58.8" x14ac:dyDescent="0.3">
      <c r="AL19" s="23"/>
      <c r="AR19" s="2">
        <v>0</v>
      </c>
      <c r="AS19" s="3" t="s">
        <v>1125</v>
      </c>
      <c r="AT19" s="3">
        <v>0</v>
      </c>
      <c r="BB19" s="2" t="s">
        <v>16</v>
      </c>
      <c r="BC19" s="2">
        <f>(BC21-(0.03*BC16))+BI16</f>
        <v>99157379740.018524</v>
      </c>
      <c r="BE19" s="16"/>
      <c r="BL19" s="1" t="s">
        <v>19</v>
      </c>
      <c r="BM19" s="2">
        <v>1962124</v>
      </c>
      <c r="BO19" s="2" t="s">
        <v>15</v>
      </c>
      <c r="BQ19" s="2">
        <f>(BO16+(0.1*BO16))+BM19</f>
        <v>523966823.74575996</v>
      </c>
    </row>
    <row r="20" spans="5:69" ht="58.8" x14ac:dyDescent="0.3">
      <c r="F20" s="41"/>
      <c r="N20" s="41"/>
      <c r="V20" s="41"/>
      <c r="AD20" s="41"/>
      <c r="AT20" s="2">
        <f>AT16+AT18+AT19</f>
        <v>37743058637.766525</v>
      </c>
      <c r="BA20" s="2"/>
      <c r="BB20" s="1" t="s">
        <v>24</v>
      </c>
      <c r="BC20" s="2">
        <f>AT18+AL18+AD18+V18+N18+F18</f>
        <v>791000000</v>
      </c>
      <c r="BE20" s="16">
        <f>BC20/BC21</f>
        <v>7.739753373473008E-3</v>
      </c>
      <c r="BL20" s="1" t="s">
        <v>20</v>
      </c>
      <c r="BM20" s="3">
        <f>(BO16+BM19)-BM18</f>
        <v>446511851.04159999</v>
      </c>
      <c r="BO20" s="2" t="s">
        <v>16</v>
      </c>
      <c r="BQ20" s="2">
        <f>(BO16-(0.1*BO16))+BM19</f>
        <v>429056878.33744001</v>
      </c>
    </row>
    <row r="21" spans="5:69" ht="58.8" x14ac:dyDescent="0.3">
      <c r="E21" s="41"/>
      <c r="AL21" s="41"/>
      <c r="AR21" s="41"/>
      <c r="BA21" s="2"/>
      <c r="BB21" s="11" t="s">
        <v>8</v>
      </c>
      <c r="BC21" s="33">
        <f>BC16+BC20</f>
        <v>102199638907.2356</v>
      </c>
      <c r="BD21" s="11"/>
      <c r="BE21" s="38">
        <f>BE20+BE16</f>
        <v>1.0000000000000002</v>
      </c>
      <c r="BL21" s="11" t="s">
        <v>8</v>
      </c>
      <c r="BM21" s="33">
        <f>BM19+BO16</f>
        <v>476511851.04159999</v>
      </c>
    </row>
    <row r="22" spans="5:69" ht="55.2" x14ac:dyDescent="0.3">
      <c r="AQ22" s="41"/>
      <c r="BE22" s="16"/>
      <c r="BG22" s="41"/>
      <c r="BH22" s="41"/>
      <c r="BL22" s="1" t="s">
        <v>13</v>
      </c>
      <c r="BM22" s="5">
        <f>((BM21*100)/BM18)-100</f>
        <v>1488.3728368053332</v>
      </c>
    </row>
    <row r="23" spans="5:69" ht="58.8" x14ac:dyDescent="0.3">
      <c r="BB23" s="1" t="s">
        <v>1154</v>
      </c>
      <c r="BC23" s="23">
        <f>BC4+BC5+BC6+BC7+BC8+BC9+BC11+BC12+BC13+BC10</f>
        <v>53393707919.192009</v>
      </c>
      <c r="BD23" s="91">
        <f>BC23/BC21</f>
        <v>0.52244517192136386</v>
      </c>
      <c r="BG23" s="41"/>
      <c r="BH23" s="41"/>
    </row>
    <row r="24" spans="5:69" ht="58.8" x14ac:dyDescent="0.3">
      <c r="BB24" s="1" t="s">
        <v>1153</v>
      </c>
      <c r="BC24" s="23">
        <f>BC3</f>
        <v>48014930988.043602</v>
      </c>
      <c r="BD24" s="91">
        <f>BC24/BC21</f>
        <v>0.46981507470516326</v>
      </c>
      <c r="BE24" s="1" t="s">
        <v>445</v>
      </c>
    </row>
    <row r="25" spans="5:69" ht="58.8" x14ac:dyDescent="0.3">
      <c r="BB25" s="1" t="s">
        <v>1205</v>
      </c>
      <c r="BC25" s="23">
        <v>0</v>
      </c>
      <c r="BD25" s="91">
        <f>BC25/BC21</f>
        <v>0</v>
      </c>
    </row>
    <row r="27" spans="5:69" x14ac:dyDescent="0.3">
      <c r="BO27" s="41"/>
    </row>
  </sheetData>
  <autoFilter ref="A2:BS2" xr:uid="{2AF4F0F8-D3DF-4275-B69A-4575CA3F5949}">
    <sortState ref="A3:BS14">
      <sortCondition descending="1" ref="BC2"/>
    </sortState>
  </autoFilter>
  <mergeCells count="9">
    <mergeCell ref="BM1:BR1"/>
    <mergeCell ref="B1:C1"/>
    <mergeCell ref="BA1:BI1"/>
    <mergeCell ref="D1:I1"/>
    <mergeCell ref="L1:Q1"/>
    <mergeCell ref="T1:Y1"/>
    <mergeCell ref="AB1:AG1"/>
    <mergeCell ref="AJ1:AO1"/>
    <mergeCell ref="AR1:AW1"/>
  </mergeCells>
  <phoneticPr fontId="11" type="noConversion"/>
  <conditionalFormatting sqref="H3:I8 AF3:AF15 AN3:AN15 X3:X15 P3:P15 AV3:AV15 H10:H15">
    <cfRule type="cellIs" dxfId="39" priority="8" operator="greaterThan">
      <formula>0</formula>
    </cfRule>
    <cfRule type="cellIs" dxfId="38" priority="10" operator="lessThan">
      <formula>0</formula>
    </cfRule>
  </conditionalFormatting>
  <conditionalFormatting sqref="I16">
    <cfRule type="cellIs" dxfId="37" priority="78" operator="lessThan">
      <formula>0</formula>
    </cfRule>
  </conditionalFormatting>
  <conditionalFormatting sqref="I16:I17">
    <cfRule type="cellIs" dxfId="36" priority="76" operator="greaterThan">
      <formula>0</formula>
    </cfRule>
  </conditionalFormatting>
  <conditionalFormatting sqref="I17">
    <cfRule type="cellIs" dxfId="35" priority="77" operator="lessThan">
      <formula>$BC$16</formula>
    </cfRule>
  </conditionalFormatting>
  <conditionalFormatting sqref="BF3:BF13 Y3:Y14 AG3:AG14 AO3:AO14 AW3:AW14 AY3:AZ14 BQ3:BR16 Q3:Q14 I10:I14 BD3:BD16">
    <cfRule type="cellIs" dxfId="34" priority="395" operator="lessThan">
      <formula>0</formula>
    </cfRule>
    <cfRule type="cellIs" dxfId="33" priority="396" operator="greaterThan">
      <formula>0</formula>
    </cfRule>
  </conditionalFormatting>
  <conditionalFormatting sqref="Q17">
    <cfRule type="cellIs" dxfId="32" priority="71" operator="lessThan">
      <formula>$BC$16</formula>
    </cfRule>
  </conditionalFormatting>
  <conditionalFormatting sqref="Q16:R16 Q17">
    <cfRule type="cellIs" dxfId="31" priority="70" operator="greaterThan">
      <formula>0</formula>
    </cfRule>
  </conditionalFormatting>
  <conditionalFormatting sqref="Q16:R16">
    <cfRule type="cellIs" dxfId="30" priority="72" operator="lessThan">
      <formula>0</formula>
    </cfRule>
  </conditionalFormatting>
  <conditionalFormatting sqref="Y17">
    <cfRule type="cellIs" dxfId="29" priority="61" operator="lessThan">
      <formula>$BC$16</formula>
    </cfRule>
  </conditionalFormatting>
  <conditionalFormatting sqref="Y16:Z16 Y17">
    <cfRule type="cellIs" dxfId="28" priority="60" operator="greaterThan">
      <formula>0</formula>
    </cfRule>
  </conditionalFormatting>
  <conditionalFormatting sqref="Y16:Z16">
    <cfRule type="cellIs" dxfId="27" priority="62" operator="lessThan">
      <formula>0</formula>
    </cfRule>
  </conditionalFormatting>
  <conditionalFormatting sqref="AG16">
    <cfRule type="cellIs" dxfId="26" priority="56" operator="lessThan">
      <formula>0</formula>
    </cfRule>
  </conditionalFormatting>
  <conditionalFormatting sqref="AG16:AG17">
    <cfRule type="cellIs" dxfId="25" priority="54" operator="greaterThan">
      <formula>0</formula>
    </cfRule>
  </conditionalFormatting>
  <conditionalFormatting sqref="AG17">
    <cfRule type="cellIs" dxfId="24" priority="55" operator="lessThan">
      <formula>$BC$16</formula>
    </cfRule>
  </conditionalFormatting>
  <conditionalFormatting sqref="AO17">
    <cfRule type="cellIs" dxfId="23" priority="49" operator="lessThan">
      <formula>$BC$16</formula>
    </cfRule>
  </conditionalFormatting>
  <conditionalFormatting sqref="AO16:AP16 AO17">
    <cfRule type="cellIs" dxfId="22" priority="48" operator="greaterThan">
      <formula>0</formula>
    </cfRule>
  </conditionalFormatting>
  <conditionalFormatting sqref="AO16:AP16">
    <cfRule type="cellIs" dxfId="21" priority="50" operator="lessThan">
      <formula>0</formula>
    </cfRule>
  </conditionalFormatting>
  <conditionalFormatting sqref="AW17">
    <cfRule type="cellIs" dxfId="20" priority="43" operator="lessThan">
      <formula>$BC$16</formula>
    </cfRule>
  </conditionalFormatting>
  <conditionalFormatting sqref="AW16:AZ16 AW17">
    <cfRule type="cellIs" dxfId="19" priority="42" operator="greaterThan">
      <formula>0</formula>
    </cfRule>
  </conditionalFormatting>
  <conditionalFormatting sqref="AW16:AZ16">
    <cfRule type="cellIs" dxfId="18" priority="44" operator="lessThan">
      <formula>0</formula>
    </cfRule>
  </conditionalFormatting>
  <conditionalFormatting sqref="BC18">
    <cfRule type="cellIs" dxfId="17" priority="373" operator="greaterThan">
      <formula>$BC$16</formula>
    </cfRule>
    <cfRule type="cellIs" dxfId="16" priority="376" operator="equal">
      <formula>20862038170</formula>
    </cfRule>
  </conditionalFormatting>
  <conditionalFormatting sqref="BC19">
    <cfRule type="cellIs" dxfId="15" priority="372" operator="lessThan">
      <formula>$BC$16</formula>
    </cfRule>
  </conditionalFormatting>
  <conditionalFormatting sqref="BF16:BF17">
    <cfRule type="cellIs" dxfId="14" priority="391" operator="lessThan">
      <formula>0</formula>
    </cfRule>
    <cfRule type="cellIs" dxfId="13" priority="392" operator="greaterThan">
      <formula>0</formula>
    </cfRule>
  </conditionalFormatting>
  <conditionalFormatting sqref="BM20">
    <cfRule type="cellIs" dxfId="12" priority="379" operator="lessThan">
      <formula>0</formula>
    </cfRule>
    <cfRule type="cellIs" dxfId="11" priority="380" operator="greaterThan">
      <formula>0</formula>
    </cfRule>
  </conditionalFormatting>
  <conditionalFormatting sqref="BM22">
    <cfRule type="cellIs" dxfId="10" priority="377" operator="lessThan">
      <formula>0</formula>
    </cfRule>
    <cfRule type="cellIs" dxfId="9" priority="378" operator="greaterThan">
      <formula>0</formula>
    </cfRule>
  </conditionalFormatting>
  <conditionalFormatting sqref="H9">
    <cfRule type="cellIs" dxfId="8" priority="3" operator="greaterThan">
      <formula>0</formula>
    </cfRule>
    <cfRule type="cellIs" dxfId="7" priority="4" operator="lessThan">
      <formula>0</formula>
    </cfRule>
  </conditionalFormatting>
  <conditionalFormatting sqref="I9"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BF14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4" operator="containsText" id="{A5D06B2F-60C0-4022-8944-36044CD55F0B}">
            <xm:f>NOT(ISERROR(SEARCH($BC$16,BC18)))</xm:f>
            <xm:f>$BC$16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BC18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C6E2-088E-425D-8936-DEF5953430E4}">
  <dimension ref="A1:T1090"/>
  <sheetViews>
    <sheetView rightToLeft="1" tabSelected="1" zoomScale="55" zoomScaleNormal="55" workbookViewId="0">
      <selection activeCell="C20" sqref="C20"/>
    </sheetView>
  </sheetViews>
  <sheetFormatPr defaultColWidth="9.109375" defaultRowHeight="21.6" x14ac:dyDescent="0.3"/>
  <cols>
    <col min="1" max="1" width="24.5546875" style="29" bestFit="1" customWidth="1"/>
    <col min="2" max="2" width="36.44140625" style="30" customWidth="1"/>
    <col min="3" max="3" width="18.88671875" style="29" customWidth="1"/>
    <col min="4" max="4" width="12.88671875" style="32" customWidth="1"/>
    <col min="5" max="5" width="19.33203125" style="97" customWidth="1"/>
    <col min="6" max="6" width="5.33203125" style="29" customWidth="1"/>
    <col min="7" max="7" width="33.44140625" style="29" bestFit="1" customWidth="1"/>
    <col min="8" max="8" width="12.5546875" style="29" bestFit="1" customWidth="1"/>
    <col min="9" max="16384" width="9.109375" style="29"/>
  </cols>
  <sheetData>
    <row r="1" spans="1:4" ht="23.4" x14ac:dyDescent="0.3">
      <c r="A1" s="31" t="s">
        <v>28</v>
      </c>
      <c r="B1" s="35" t="s">
        <v>29</v>
      </c>
      <c r="C1" s="136" t="s">
        <v>34</v>
      </c>
      <c r="D1" s="136"/>
    </row>
    <row r="2" spans="1:4" x14ac:dyDescent="0.3">
      <c r="A2" s="29" t="s">
        <v>890</v>
      </c>
      <c r="B2" s="30">
        <v>789000000</v>
      </c>
      <c r="C2" s="30"/>
    </row>
    <row r="3" spans="1:4" x14ac:dyDescent="0.3">
      <c r="A3" s="29" t="s">
        <v>990</v>
      </c>
      <c r="B3" s="30">
        <v>889000000</v>
      </c>
      <c r="C3" s="30">
        <f t="shared" ref="C3:C63" si="0">B3-B2</f>
        <v>100000000</v>
      </c>
      <c r="D3" s="32">
        <f t="shared" ref="D3:D63" si="1">(B3/B2)-1</f>
        <v>0.12674271229404299</v>
      </c>
    </row>
    <row r="4" spans="1:4" x14ac:dyDescent="0.3">
      <c r="A4" s="29" t="s">
        <v>991</v>
      </c>
      <c r="B4" s="30">
        <v>954000000</v>
      </c>
      <c r="C4" s="30">
        <f t="shared" si="0"/>
        <v>65000000</v>
      </c>
      <c r="D4" s="32">
        <f t="shared" si="1"/>
        <v>7.3115860517435349E-2</v>
      </c>
    </row>
    <row r="5" spans="1:4" x14ac:dyDescent="0.3">
      <c r="A5" s="29" t="s">
        <v>992</v>
      </c>
      <c r="B5" s="30">
        <v>1020000000</v>
      </c>
      <c r="C5" s="30">
        <f t="shared" si="0"/>
        <v>66000000</v>
      </c>
      <c r="D5" s="32">
        <f t="shared" si="1"/>
        <v>6.9182389937106903E-2</v>
      </c>
    </row>
    <row r="6" spans="1:4" x14ac:dyDescent="0.3">
      <c r="A6" s="29" t="s">
        <v>993</v>
      </c>
      <c r="B6" s="30">
        <v>1120000000</v>
      </c>
      <c r="C6" s="30">
        <f t="shared" si="0"/>
        <v>100000000</v>
      </c>
      <c r="D6" s="32">
        <f t="shared" si="1"/>
        <v>9.8039215686274606E-2</v>
      </c>
    </row>
    <row r="7" spans="1:4" x14ac:dyDescent="0.3">
      <c r="A7" s="29" t="s">
        <v>896</v>
      </c>
      <c r="B7" s="30">
        <v>1220000000</v>
      </c>
      <c r="C7" s="30">
        <f t="shared" si="0"/>
        <v>100000000</v>
      </c>
      <c r="D7" s="32">
        <f t="shared" si="1"/>
        <v>8.9285714285714191E-2</v>
      </c>
    </row>
    <row r="8" spans="1:4" x14ac:dyDescent="0.3">
      <c r="A8" s="29" t="s">
        <v>994</v>
      </c>
      <c r="B8" s="30">
        <v>1290000000</v>
      </c>
      <c r="C8" s="30">
        <f t="shared" si="0"/>
        <v>70000000</v>
      </c>
      <c r="D8" s="32">
        <f t="shared" si="1"/>
        <v>5.7377049180327822E-2</v>
      </c>
    </row>
    <row r="9" spans="1:4" x14ac:dyDescent="0.3">
      <c r="A9" s="29" t="s">
        <v>995</v>
      </c>
      <c r="B9" s="30">
        <v>1380000000</v>
      </c>
      <c r="C9" s="30">
        <f t="shared" si="0"/>
        <v>90000000</v>
      </c>
      <c r="D9" s="32">
        <f t="shared" si="1"/>
        <v>6.9767441860465018E-2</v>
      </c>
    </row>
    <row r="10" spans="1:4" x14ac:dyDescent="0.3">
      <c r="A10" s="29" t="s">
        <v>996</v>
      </c>
      <c r="B10" s="30">
        <v>1430000000</v>
      </c>
      <c r="C10" s="30">
        <f t="shared" si="0"/>
        <v>50000000</v>
      </c>
      <c r="D10" s="32">
        <f t="shared" si="1"/>
        <v>3.6231884057970953E-2</v>
      </c>
    </row>
    <row r="11" spans="1:4" x14ac:dyDescent="0.3">
      <c r="A11" s="29" t="s">
        <v>997</v>
      </c>
      <c r="B11" s="30">
        <v>1550000000</v>
      </c>
      <c r="C11" s="30">
        <f t="shared" si="0"/>
        <v>120000000</v>
      </c>
      <c r="D11" s="32">
        <f t="shared" si="1"/>
        <v>8.3916083916083961E-2</v>
      </c>
    </row>
    <row r="12" spans="1:4" x14ac:dyDescent="0.3">
      <c r="A12" s="29" t="s">
        <v>897</v>
      </c>
      <c r="B12" s="30">
        <v>1610000000</v>
      </c>
      <c r="C12" s="30">
        <f t="shared" si="0"/>
        <v>60000000</v>
      </c>
      <c r="D12" s="32">
        <f t="shared" si="1"/>
        <v>3.8709677419354938E-2</v>
      </c>
    </row>
    <row r="13" spans="1:4" x14ac:dyDescent="0.3">
      <c r="A13" s="29" t="s">
        <v>998</v>
      </c>
      <c r="B13" s="30">
        <v>1670000000</v>
      </c>
      <c r="C13" s="30">
        <f t="shared" si="0"/>
        <v>60000000</v>
      </c>
      <c r="D13" s="32">
        <f t="shared" si="1"/>
        <v>3.7267080745341685E-2</v>
      </c>
    </row>
    <row r="14" spans="1:4" x14ac:dyDescent="0.3">
      <c r="A14" s="29" t="s">
        <v>999</v>
      </c>
      <c r="B14" s="30">
        <v>1770000000</v>
      </c>
      <c r="C14" s="30">
        <f t="shared" si="0"/>
        <v>100000000</v>
      </c>
      <c r="D14" s="32">
        <f t="shared" si="1"/>
        <v>5.9880239520958112E-2</v>
      </c>
    </row>
    <row r="15" spans="1:4" x14ac:dyDescent="0.3">
      <c r="A15" s="29" t="s">
        <v>1000</v>
      </c>
      <c r="B15" s="30">
        <v>1810000000</v>
      </c>
      <c r="C15" s="30">
        <f t="shared" si="0"/>
        <v>40000000</v>
      </c>
      <c r="D15" s="32">
        <f t="shared" si="1"/>
        <v>2.2598870056497189E-2</v>
      </c>
    </row>
    <row r="16" spans="1:4" x14ac:dyDescent="0.3">
      <c r="A16" s="29" t="s">
        <v>1001</v>
      </c>
      <c r="B16" s="30">
        <v>1930000000</v>
      </c>
      <c r="C16" s="30">
        <f t="shared" si="0"/>
        <v>120000000</v>
      </c>
      <c r="D16" s="32">
        <f t="shared" si="1"/>
        <v>6.6298342541436517E-2</v>
      </c>
    </row>
    <row r="17" spans="1:4" x14ac:dyDescent="0.3">
      <c r="A17" s="29" t="s">
        <v>898</v>
      </c>
      <c r="B17" s="30">
        <v>2010000000</v>
      </c>
      <c r="C17" s="30">
        <f t="shared" si="0"/>
        <v>80000000</v>
      </c>
      <c r="D17" s="32">
        <f t="shared" si="1"/>
        <v>4.1450777202072464E-2</v>
      </c>
    </row>
    <row r="18" spans="1:4" x14ac:dyDescent="0.3">
      <c r="A18" s="29" t="s">
        <v>1002</v>
      </c>
      <c r="B18" s="30">
        <v>2030000000</v>
      </c>
      <c r="C18" s="30">
        <f t="shared" si="0"/>
        <v>20000000</v>
      </c>
      <c r="D18" s="32">
        <f t="shared" si="1"/>
        <v>9.9502487562188602E-3</v>
      </c>
    </row>
    <row r="19" spans="1:4" x14ac:dyDescent="0.3">
      <c r="A19" s="29" t="s">
        <v>1003</v>
      </c>
      <c r="B19" s="30">
        <v>2090000000</v>
      </c>
      <c r="C19" s="30">
        <f t="shared" si="0"/>
        <v>60000000</v>
      </c>
      <c r="D19" s="32">
        <f t="shared" si="1"/>
        <v>2.9556650246305383E-2</v>
      </c>
    </row>
    <row r="20" spans="1:4" x14ac:dyDescent="0.3">
      <c r="A20" s="29" t="s">
        <v>1004</v>
      </c>
      <c r="B20" s="30">
        <v>2190000000</v>
      </c>
      <c r="C20" s="30">
        <f t="shared" si="0"/>
        <v>100000000</v>
      </c>
      <c r="D20" s="32">
        <f t="shared" ref="D20:D21" si="2">(B20/B19)-1</f>
        <v>4.7846889952153138E-2</v>
      </c>
    </row>
    <row r="21" spans="1:4" x14ac:dyDescent="0.3">
      <c r="A21" s="29" t="s">
        <v>899</v>
      </c>
      <c r="B21" s="30">
        <v>2210000000</v>
      </c>
      <c r="C21" s="30">
        <f t="shared" si="0"/>
        <v>20000000</v>
      </c>
      <c r="D21" s="32">
        <f t="shared" si="2"/>
        <v>9.1324200913243114E-3</v>
      </c>
    </row>
    <row r="22" spans="1:4" x14ac:dyDescent="0.3">
      <c r="A22" s="29" t="s">
        <v>1005</v>
      </c>
      <c r="B22" s="30">
        <v>2240000000</v>
      </c>
      <c r="C22" s="30">
        <f t="shared" si="0"/>
        <v>30000000</v>
      </c>
      <c r="D22" s="32">
        <f t="shared" si="1"/>
        <v>1.3574660633484115E-2</v>
      </c>
    </row>
    <row r="23" spans="1:4" x14ac:dyDescent="0.3">
      <c r="A23" s="29" t="s">
        <v>1006</v>
      </c>
      <c r="B23" s="30">
        <v>2310000000</v>
      </c>
      <c r="C23" s="30">
        <f t="shared" si="0"/>
        <v>70000000</v>
      </c>
      <c r="D23" s="32">
        <f t="shared" ref="D23:D24" si="3">(B23/B22)-1</f>
        <v>3.125E-2</v>
      </c>
    </row>
    <row r="24" spans="1:4" x14ac:dyDescent="0.3">
      <c r="A24" s="29" t="s">
        <v>1007</v>
      </c>
      <c r="B24" s="30">
        <v>2320000000</v>
      </c>
      <c r="C24" s="30">
        <f t="shared" si="0"/>
        <v>10000000</v>
      </c>
      <c r="D24" s="32">
        <f t="shared" si="3"/>
        <v>4.3290043290042934E-3</v>
      </c>
    </row>
    <row r="25" spans="1:4" x14ac:dyDescent="0.3">
      <c r="A25" s="29" t="s">
        <v>895</v>
      </c>
      <c r="B25" s="30">
        <v>2400000000</v>
      </c>
      <c r="C25" s="30">
        <f>B25-B24</f>
        <v>80000000</v>
      </c>
      <c r="D25" s="32">
        <f>(B25/B24)-1</f>
        <v>3.4482758620689724E-2</v>
      </c>
    </row>
    <row r="26" spans="1:4" x14ac:dyDescent="0.3">
      <c r="A26" s="29" t="s">
        <v>1008</v>
      </c>
      <c r="B26" s="30">
        <v>2430000000</v>
      </c>
      <c r="C26" s="30">
        <f t="shared" si="0"/>
        <v>30000000</v>
      </c>
      <c r="D26" s="32">
        <f t="shared" si="1"/>
        <v>1.2499999999999956E-2</v>
      </c>
    </row>
    <row r="27" spans="1:4" x14ac:dyDescent="0.3">
      <c r="A27" s="29" t="s">
        <v>1009</v>
      </c>
      <c r="B27" s="30">
        <v>2560000000</v>
      </c>
      <c r="C27" s="30">
        <f t="shared" si="0"/>
        <v>130000000</v>
      </c>
      <c r="D27" s="32">
        <f t="shared" si="1"/>
        <v>5.3497942386831365E-2</v>
      </c>
    </row>
    <row r="28" spans="1:4" x14ac:dyDescent="0.3">
      <c r="A28" s="29" t="s">
        <v>1010</v>
      </c>
      <c r="B28" s="30">
        <v>2610000000</v>
      </c>
      <c r="C28" s="30">
        <f t="shared" si="0"/>
        <v>50000000</v>
      </c>
      <c r="D28" s="32">
        <f t="shared" si="1"/>
        <v>1.953125E-2</v>
      </c>
    </row>
    <row r="29" spans="1:4" x14ac:dyDescent="0.3">
      <c r="A29" s="29" t="s">
        <v>1011</v>
      </c>
      <c r="B29" s="30">
        <v>2660000000</v>
      </c>
      <c r="C29" s="30">
        <f>B29-B28</f>
        <v>50000000</v>
      </c>
      <c r="D29" s="32">
        <f t="shared" si="1"/>
        <v>1.9157088122605304E-2</v>
      </c>
    </row>
    <row r="30" spans="1:4" x14ac:dyDescent="0.3">
      <c r="A30" s="29" t="s">
        <v>900</v>
      </c>
      <c r="B30" s="30">
        <v>2640000000</v>
      </c>
      <c r="C30" s="30">
        <f t="shared" si="0"/>
        <v>-20000000</v>
      </c>
      <c r="D30" s="32">
        <f t="shared" si="1"/>
        <v>-7.5187969924812581E-3</v>
      </c>
    </row>
    <row r="31" spans="1:4" x14ac:dyDescent="0.3">
      <c r="A31" s="29" t="s">
        <v>1012</v>
      </c>
      <c r="B31" s="30">
        <v>2720000000</v>
      </c>
      <c r="C31" s="30">
        <f t="shared" si="0"/>
        <v>80000000</v>
      </c>
      <c r="D31" s="32">
        <f t="shared" si="1"/>
        <v>3.0303030303030276E-2</v>
      </c>
    </row>
    <row r="32" spans="1:4" x14ac:dyDescent="0.3">
      <c r="A32" s="29" t="s">
        <v>1013</v>
      </c>
      <c r="B32" s="30">
        <v>2790000000</v>
      </c>
      <c r="C32" s="30">
        <f t="shared" si="0"/>
        <v>70000000</v>
      </c>
      <c r="D32" s="32">
        <f t="shared" si="1"/>
        <v>2.5735294117646967E-2</v>
      </c>
    </row>
    <row r="33" spans="1:4" x14ac:dyDescent="0.3">
      <c r="A33" s="29" t="s">
        <v>1014</v>
      </c>
      <c r="B33" s="30">
        <v>2870000000</v>
      </c>
      <c r="C33" s="30">
        <f t="shared" si="0"/>
        <v>80000000</v>
      </c>
      <c r="D33" s="32">
        <f t="shared" si="1"/>
        <v>2.8673835125448077E-2</v>
      </c>
    </row>
    <row r="34" spans="1:4" x14ac:dyDescent="0.3">
      <c r="A34" s="29" t="s">
        <v>1015</v>
      </c>
      <c r="B34" s="30">
        <v>2960000000</v>
      </c>
      <c r="C34" s="30">
        <f t="shared" si="0"/>
        <v>90000000</v>
      </c>
      <c r="D34" s="32">
        <f t="shared" si="1"/>
        <v>3.1358885017421567E-2</v>
      </c>
    </row>
    <row r="35" spans="1:4" x14ac:dyDescent="0.3">
      <c r="A35" s="29" t="s">
        <v>901</v>
      </c>
      <c r="B35" s="30">
        <v>3010000000</v>
      </c>
      <c r="C35" s="30">
        <f t="shared" si="0"/>
        <v>50000000</v>
      </c>
      <c r="D35" s="32">
        <f t="shared" si="1"/>
        <v>1.6891891891891886E-2</v>
      </c>
    </row>
    <row r="36" spans="1:4" x14ac:dyDescent="0.3">
      <c r="A36" s="29" t="s">
        <v>1016</v>
      </c>
      <c r="B36" s="30">
        <v>3030000000</v>
      </c>
      <c r="C36" s="30">
        <f t="shared" si="0"/>
        <v>20000000</v>
      </c>
      <c r="D36" s="32">
        <f t="shared" si="1"/>
        <v>6.6445182724252927E-3</v>
      </c>
    </row>
    <row r="37" spans="1:4" x14ac:dyDescent="0.3">
      <c r="A37" s="29" t="s">
        <v>1017</v>
      </c>
      <c r="B37" s="30">
        <v>3140000000</v>
      </c>
      <c r="C37" s="30">
        <f t="shared" si="0"/>
        <v>110000000</v>
      </c>
      <c r="D37" s="32">
        <f t="shared" si="1"/>
        <v>3.630363036303641E-2</v>
      </c>
    </row>
    <row r="38" spans="1:4" x14ac:dyDescent="0.3">
      <c r="A38" s="29" t="s">
        <v>1018</v>
      </c>
      <c r="B38" s="30">
        <v>3090000000</v>
      </c>
      <c r="C38" s="30">
        <f t="shared" si="0"/>
        <v>-50000000</v>
      </c>
      <c r="D38" s="32">
        <f t="shared" si="1"/>
        <v>-1.5923566878980888E-2</v>
      </c>
    </row>
    <row r="39" spans="1:4" x14ac:dyDescent="0.3">
      <c r="A39" s="29" t="s">
        <v>1019</v>
      </c>
      <c r="B39" s="30">
        <v>3190000000</v>
      </c>
      <c r="C39" s="30">
        <f t="shared" si="0"/>
        <v>100000000</v>
      </c>
      <c r="D39" s="32">
        <f t="shared" si="1"/>
        <v>3.2362459546925626E-2</v>
      </c>
    </row>
    <row r="40" spans="1:4" x14ac:dyDescent="0.3">
      <c r="A40" s="29" t="s">
        <v>902</v>
      </c>
      <c r="B40" s="30">
        <v>3210000000</v>
      </c>
      <c r="C40" s="30">
        <f t="shared" si="0"/>
        <v>20000000</v>
      </c>
      <c r="D40" s="32">
        <f t="shared" si="1"/>
        <v>6.2695924764890609E-3</v>
      </c>
    </row>
    <row r="41" spans="1:4" x14ac:dyDescent="0.3">
      <c r="A41" s="29" t="s">
        <v>1020</v>
      </c>
      <c r="B41" s="30">
        <v>3270000000</v>
      </c>
      <c r="C41" s="30">
        <f t="shared" si="0"/>
        <v>60000000</v>
      </c>
      <c r="D41" s="32">
        <f t="shared" si="1"/>
        <v>1.8691588785046731E-2</v>
      </c>
    </row>
    <row r="42" spans="1:4" x14ac:dyDescent="0.3">
      <c r="A42" s="29" t="s">
        <v>1021</v>
      </c>
      <c r="B42" s="30">
        <v>3360000000</v>
      </c>
      <c r="C42" s="30">
        <f t="shared" si="0"/>
        <v>90000000</v>
      </c>
      <c r="D42" s="32">
        <f t="shared" si="1"/>
        <v>2.7522935779816571E-2</v>
      </c>
    </row>
    <row r="43" spans="1:4" x14ac:dyDescent="0.3">
      <c r="A43" s="29" t="s">
        <v>1022</v>
      </c>
      <c r="B43" s="30">
        <v>3370000000</v>
      </c>
      <c r="C43" s="30">
        <f t="shared" si="0"/>
        <v>10000000</v>
      </c>
      <c r="D43" s="32">
        <f t="shared" si="1"/>
        <v>2.9761904761904656E-3</v>
      </c>
    </row>
    <row r="44" spans="1:4" x14ac:dyDescent="0.3">
      <c r="A44" s="29" t="s">
        <v>1023</v>
      </c>
      <c r="B44" s="30">
        <v>3510000000</v>
      </c>
      <c r="C44" s="30">
        <f t="shared" si="0"/>
        <v>140000000</v>
      </c>
      <c r="D44" s="32">
        <f t="shared" si="1"/>
        <v>4.1543026706231556E-2</v>
      </c>
    </row>
    <row r="45" spans="1:4" x14ac:dyDescent="0.3">
      <c r="A45" s="29" t="s">
        <v>903</v>
      </c>
      <c r="B45" s="30">
        <v>3480000000</v>
      </c>
      <c r="C45" s="30">
        <f t="shared" si="0"/>
        <v>-30000000</v>
      </c>
      <c r="D45" s="32">
        <f t="shared" si="1"/>
        <v>-8.5470085470085166E-3</v>
      </c>
    </row>
    <row r="46" spans="1:4" x14ac:dyDescent="0.3">
      <c r="A46" s="29" t="s">
        <v>1024</v>
      </c>
      <c r="B46" s="30">
        <v>3660000000</v>
      </c>
      <c r="C46" s="30">
        <f t="shared" si="0"/>
        <v>180000000</v>
      </c>
      <c r="D46" s="32">
        <f t="shared" si="1"/>
        <v>5.1724137931034475E-2</v>
      </c>
    </row>
    <row r="47" spans="1:4" x14ac:dyDescent="0.3">
      <c r="A47" s="29" t="s">
        <v>1025</v>
      </c>
      <c r="B47" s="30">
        <v>3590000000</v>
      </c>
      <c r="C47" s="30">
        <f t="shared" si="0"/>
        <v>-70000000</v>
      </c>
      <c r="D47" s="32">
        <f t="shared" si="1"/>
        <v>-1.9125683060109311E-2</v>
      </c>
    </row>
    <row r="48" spans="1:4" x14ac:dyDescent="0.3">
      <c r="A48" s="29" t="s">
        <v>1026</v>
      </c>
      <c r="B48" s="30">
        <v>3780000000</v>
      </c>
      <c r="C48" s="30">
        <f t="shared" si="0"/>
        <v>190000000</v>
      </c>
      <c r="D48" s="32">
        <f t="shared" si="1"/>
        <v>5.2924791086351064E-2</v>
      </c>
    </row>
    <row r="49" spans="1:20" x14ac:dyDescent="0.3">
      <c r="A49" s="29" t="s">
        <v>1027</v>
      </c>
      <c r="B49" s="30">
        <v>3740000000</v>
      </c>
      <c r="C49" s="30">
        <f t="shared" si="0"/>
        <v>-40000000</v>
      </c>
      <c r="D49" s="32">
        <f t="shared" si="1"/>
        <v>-1.0582010582010581E-2</v>
      </c>
    </row>
    <row r="50" spans="1:20" x14ac:dyDescent="0.3">
      <c r="A50" s="29" t="s">
        <v>904</v>
      </c>
      <c r="B50" s="30">
        <v>3780000000</v>
      </c>
      <c r="C50" s="30">
        <f t="shared" si="0"/>
        <v>40000000</v>
      </c>
      <c r="D50" s="32">
        <f t="shared" si="1"/>
        <v>1.0695187165775444E-2</v>
      </c>
    </row>
    <row r="51" spans="1:20" x14ac:dyDescent="0.3">
      <c r="A51" s="29" t="s">
        <v>1028</v>
      </c>
      <c r="B51" s="30">
        <v>3860000000</v>
      </c>
      <c r="C51" s="30">
        <f t="shared" si="0"/>
        <v>80000000</v>
      </c>
      <c r="D51" s="32">
        <f t="shared" si="1"/>
        <v>2.1164021164021163E-2</v>
      </c>
    </row>
    <row r="52" spans="1:20" x14ac:dyDescent="0.3">
      <c r="A52" s="29" t="s">
        <v>1029</v>
      </c>
      <c r="B52" s="30">
        <v>3970000000</v>
      </c>
      <c r="C52" s="30">
        <f t="shared" si="0"/>
        <v>110000000</v>
      </c>
      <c r="D52" s="32">
        <f t="shared" si="1"/>
        <v>2.8497409326424972E-2</v>
      </c>
    </row>
    <row r="53" spans="1:20" x14ac:dyDescent="0.3">
      <c r="A53" s="29" t="s">
        <v>1030</v>
      </c>
      <c r="B53" s="30">
        <v>3960000000</v>
      </c>
      <c r="C53" s="30">
        <f t="shared" si="0"/>
        <v>-10000000</v>
      </c>
      <c r="D53" s="32">
        <f t="shared" si="1"/>
        <v>-2.5188916876573986E-3</v>
      </c>
    </row>
    <row r="54" spans="1:20" x14ac:dyDescent="0.3">
      <c r="A54" s="29" t="s">
        <v>1031</v>
      </c>
      <c r="B54" s="30">
        <v>4030000000</v>
      </c>
      <c r="C54" s="30">
        <f t="shared" si="0"/>
        <v>70000000</v>
      </c>
      <c r="D54" s="32">
        <f t="shared" si="1"/>
        <v>1.7676767676767735E-2</v>
      </c>
    </row>
    <row r="55" spans="1:20" x14ac:dyDescent="0.3">
      <c r="A55" s="29" t="s">
        <v>905</v>
      </c>
      <c r="B55" s="30">
        <v>4130000000</v>
      </c>
      <c r="C55" s="30">
        <f t="shared" si="0"/>
        <v>100000000</v>
      </c>
      <c r="D55" s="32">
        <f t="shared" si="1"/>
        <v>2.4813895781637729E-2</v>
      </c>
    </row>
    <row r="56" spans="1:20" x14ac:dyDescent="0.3">
      <c r="A56" s="29" t="s">
        <v>1032</v>
      </c>
      <c r="B56" s="30">
        <v>4110000000</v>
      </c>
      <c r="C56" s="30">
        <f t="shared" si="0"/>
        <v>-20000000</v>
      </c>
      <c r="D56" s="32">
        <f t="shared" si="1"/>
        <v>-4.8426150121065881E-3</v>
      </c>
    </row>
    <row r="57" spans="1:20" x14ac:dyDescent="0.3">
      <c r="A57" s="29" t="s">
        <v>1033</v>
      </c>
      <c r="B57" s="30">
        <v>4160000000</v>
      </c>
      <c r="C57" s="30">
        <f t="shared" si="0"/>
        <v>50000000</v>
      </c>
      <c r="D57" s="32">
        <f t="shared" si="1"/>
        <v>1.2165450121654597E-2</v>
      </c>
    </row>
    <row r="58" spans="1:20" x14ac:dyDescent="0.3">
      <c r="A58" s="29" t="s">
        <v>1034</v>
      </c>
      <c r="B58" s="30">
        <v>4300000000</v>
      </c>
      <c r="C58" s="30">
        <f t="shared" si="0"/>
        <v>140000000</v>
      </c>
      <c r="D58" s="32">
        <f t="shared" si="1"/>
        <v>3.3653846153846256E-2</v>
      </c>
    </row>
    <row r="59" spans="1:20" x14ac:dyDescent="0.3">
      <c r="A59" s="29" t="s">
        <v>1035</v>
      </c>
      <c r="B59" s="30">
        <v>4370000000</v>
      </c>
      <c r="C59" s="30">
        <f t="shared" si="0"/>
        <v>70000000</v>
      </c>
      <c r="D59" s="32">
        <f t="shared" si="1"/>
        <v>1.6279069767441756E-2</v>
      </c>
    </row>
    <row r="60" spans="1:20" x14ac:dyDescent="0.3">
      <c r="A60" s="29" t="s">
        <v>891</v>
      </c>
      <c r="B60" s="30">
        <v>4370000000</v>
      </c>
      <c r="C60" s="30">
        <f t="shared" si="0"/>
        <v>0</v>
      </c>
      <c r="D60" s="32">
        <f t="shared" si="1"/>
        <v>0</v>
      </c>
      <c r="K60" s="44"/>
    </row>
    <row r="61" spans="1:20" x14ac:dyDescent="0.3">
      <c r="A61" s="29" t="s">
        <v>1036</v>
      </c>
      <c r="B61" s="30">
        <v>4500000000</v>
      </c>
      <c r="C61" s="30">
        <f t="shared" si="0"/>
        <v>130000000</v>
      </c>
      <c r="D61" s="32">
        <f t="shared" si="1"/>
        <v>2.9748283752860427E-2</v>
      </c>
      <c r="H61" s="44"/>
      <c r="K61" s="44"/>
    </row>
    <row r="62" spans="1:20" x14ac:dyDescent="0.3">
      <c r="A62" s="29" t="s">
        <v>1037</v>
      </c>
      <c r="B62" s="30">
        <v>4500000000</v>
      </c>
      <c r="C62" s="30">
        <f t="shared" si="0"/>
        <v>0</v>
      </c>
      <c r="D62" s="32">
        <f t="shared" si="1"/>
        <v>0</v>
      </c>
      <c r="H62" s="44"/>
      <c r="K62" s="44"/>
      <c r="N62" s="44"/>
      <c r="T62" s="44"/>
    </row>
    <row r="63" spans="1:20" x14ac:dyDescent="0.3">
      <c r="A63" s="29" t="s">
        <v>1038</v>
      </c>
      <c r="B63" s="30">
        <v>4680000000</v>
      </c>
      <c r="C63" s="30">
        <f t="shared" si="0"/>
        <v>180000000</v>
      </c>
      <c r="D63" s="32">
        <f t="shared" si="1"/>
        <v>4.0000000000000036E-2</v>
      </c>
      <c r="H63" s="44"/>
      <c r="K63" s="44"/>
      <c r="N63" s="44"/>
      <c r="T63" s="44"/>
    </row>
    <row r="64" spans="1:20" x14ac:dyDescent="0.3">
      <c r="A64" s="29" t="s">
        <v>1039</v>
      </c>
      <c r="B64" s="30">
        <v>4700000000</v>
      </c>
      <c r="C64" s="30">
        <f t="shared" ref="C64:C115" si="4">B64-B63</f>
        <v>20000000</v>
      </c>
      <c r="D64" s="32">
        <f t="shared" ref="D64:D115" si="5">(B64/B63)-1</f>
        <v>4.2735042735042583E-3</v>
      </c>
      <c r="H64" s="44"/>
      <c r="K64" s="44"/>
      <c r="N64" s="44"/>
      <c r="T64" s="44"/>
    </row>
    <row r="65" spans="1:20" x14ac:dyDescent="0.3">
      <c r="A65" s="29" t="s">
        <v>906</v>
      </c>
      <c r="B65" s="30">
        <v>4820000000</v>
      </c>
      <c r="C65" s="30">
        <f t="shared" si="4"/>
        <v>120000000</v>
      </c>
      <c r="D65" s="32">
        <f t="shared" si="5"/>
        <v>2.5531914893617058E-2</v>
      </c>
      <c r="H65" s="44"/>
      <c r="K65" s="44"/>
      <c r="N65" s="44"/>
      <c r="T65" s="44"/>
    </row>
    <row r="66" spans="1:20" x14ac:dyDescent="0.3">
      <c r="A66" s="29" t="s">
        <v>1040</v>
      </c>
      <c r="B66" s="30">
        <v>4920000000</v>
      </c>
      <c r="C66" s="30">
        <f t="shared" si="4"/>
        <v>100000000</v>
      </c>
      <c r="D66" s="32">
        <f t="shared" si="5"/>
        <v>2.0746887966804906E-2</v>
      </c>
      <c r="H66" s="44"/>
      <c r="K66" s="44"/>
      <c r="N66" s="44"/>
      <c r="T66" s="44"/>
    </row>
    <row r="67" spans="1:20" x14ac:dyDescent="0.3">
      <c r="A67" s="29" t="s">
        <v>1041</v>
      </c>
      <c r="B67" s="30">
        <v>5030000000</v>
      </c>
      <c r="C67" s="30">
        <f t="shared" si="4"/>
        <v>110000000</v>
      </c>
      <c r="D67" s="32">
        <f t="shared" si="5"/>
        <v>2.2357723577235866E-2</v>
      </c>
      <c r="H67" s="44"/>
      <c r="K67" s="44"/>
      <c r="N67" s="44"/>
      <c r="T67" s="44"/>
    </row>
    <row r="68" spans="1:20" x14ac:dyDescent="0.3">
      <c r="A68" s="29" t="s">
        <v>1042</v>
      </c>
      <c r="B68" s="30">
        <v>5010000000</v>
      </c>
      <c r="C68" s="30">
        <f t="shared" si="4"/>
        <v>-20000000</v>
      </c>
      <c r="D68" s="32">
        <f t="shared" si="5"/>
        <v>-3.9761431411531323E-3</v>
      </c>
      <c r="H68" s="44"/>
      <c r="K68" s="44"/>
      <c r="N68" s="44"/>
      <c r="T68" s="44"/>
    </row>
    <row r="69" spans="1:20" x14ac:dyDescent="0.3">
      <c r="A69" s="29" t="s">
        <v>1043</v>
      </c>
      <c r="B69" s="30">
        <v>5030000000</v>
      </c>
      <c r="C69" s="30">
        <f t="shared" si="4"/>
        <v>20000000</v>
      </c>
      <c r="D69" s="32">
        <f t="shared" si="5"/>
        <v>3.9920159680639777E-3</v>
      </c>
      <c r="H69" s="44"/>
      <c r="K69" s="44"/>
      <c r="N69" s="44"/>
      <c r="T69" s="44"/>
    </row>
    <row r="70" spans="1:20" x14ac:dyDescent="0.3">
      <c r="A70" s="29" t="s">
        <v>907</v>
      </c>
      <c r="B70" s="30">
        <v>5150000000</v>
      </c>
      <c r="C70" s="30">
        <f t="shared" si="4"/>
        <v>120000000</v>
      </c>
      <c r="D70" s="32">
        <f t="shared" si="5"/>
        <v>2.3856858846918572E-2</v>
      </c>
      <c r="H70" s="44"/>
      <c r="K70" s="44"/>
      <c r="N70" s="44"/>
      <c r="T70" s="44"/>
    </row>
    <row r="71" spans="1:20" x14ac:dyDescent="0.3">
      <c r="A71" s="29" t="s">
        <v>1044</v>
      </c>
      <c r="B71" s="30">
        <v>5230000000</v>
      </c>
      <c r="C71" s="30">
        <f t="shared" si="4"/>
        <v>80000000</v>
      </c>
      <c r="D71" s="32">
        <f t="shared" si="5"/>
        <v>1.5533980582524309E-2</v>
      </c>
      <c r="H71" s="44"/>
      <c r="K71" s="44"/>
      <c r="N71" s="44"/>
      <c r="T71" s="44"/>
    </row>
    <row r="72" spans="1:20" x14ac:dyDescent="0.3">
      <c r="A72" s="29" t="s">
        <v>1045</v>
      </c>
      <c r="B72" s="30">
        <v>5380000000</v>
      </c>
      <c r="C72" s="30">
        <f t="shared" si="4"/>
        <v>150000000</v>
      </c>
      <c r="D72" s="32">
        <f t="shared" si="5"/>
        <v>2.8680688336520044E-2</v>
      </c>
      <c r="H72" s="44"/>
      <c r="K72" s="44"/>
      <c r="N72" s="44"/>
      <c r="T72" s="44"/>
    </row>
    <row r="73" spans="1:20" x14ac:dyDescent="0.3">
      <c r="A73" s="29" t="s">
        <v>1046</v>
      </c>
      <c r="B73" s="30">
        <v>5460000000</v>
      </c>
      <c r="C73" s="30">
        <f t="shared" si="4"/>
        <v>80000000</v>
      </c>
      <c r="D73" s="32">
        <f t="shared" si="5"/>
        <v>1.4869888475836479E-2</v>
      </c>
      <c r="H73" s="44"/>
      <c r="K73" s="44"/>
      <c r="N73" s="44"/>
      <c r="T73" s="44"/>
    </row>
    <row r="74" spans="1:20" x14ac:dyDescent="0.3">
      <c r="A74" s="29" t="s">
        <v>1047</v>
      </c>
      <c r="B74" s="30">
        <v>5400000000</v>
      </c>
      <c r="C74" s="30">
        <f t="shared" si="4"/>
        <v>-60000000</v>
      </c>
      <c r="D74" s="32">
        <f t="shared" si="5"/>
        <v>-1.098901098901095E-2</v>
      </c>
      <c r="H74" s="44"/>
      <c r="K74" s="44"/>
      <c r="N74" s="44"/>
      <c r="T74" s="44"/>
    </row>
    <row r="75" spans="1:20" x14ac:dyDescent="0.3">
      <c r="A75" s="29" t="s">
        <v>908</v>
      </c>
      <c r="B75" s="30">
        <v>5500000000</v>
      </c>
      <c r="C75" s="30">
        <f t="shared" si="4"/>
        <v>100000000</v>
      </c>
      <c r="D75" s="32">
        <f t="shared" si="5"/>
        <v>1.8518518518518601E-2</v>
      </c>
      <c r="H75" s="44"/>
      <c r="K75" s="44"/>
      <c r="N75" s="44"/>
      <c r="T75" s="44"/>
    </row>
    <row r="76" spans="1:20" x14ac:dyDescent="0.3">
      <c r="A76" s="29" t="s">
        <v>1048</v>
      </c>
      <c r="B76" s="30">
        <v>5590000000</v>
      </c>
      <c r="C76" s="30">
        <f t="shared" si="4"/>
        <v>90000000</v>
      </c>
      <c r="D76" s="32">
        <f t="shared" si="5"/>
        <v>1.6363636363636358E-2</v>
      </c>
      <c r="H76" s="44"/>
      <c r="K76" s="44"/>
      <c r="N76" s="44"/>
      <c r="T76" s="44"/>
    </row>
    <row r="77" spans="1:20" x14ac:dyDescent="0.3">
      <c r="A77" s="29" t="s">
        <v>1049</v>
      </c>
      <c r="B77" s="30">
        <v>5830000000</v>
      </c>
      <c r="C77" s="30">
        <f t="shared" si="4"/>
        <v>240000000</v>
      </c>
      <c r="D77" s="32">
        <f t="shared" si="5"/>
        <v>4.29338103756709E-2</v>
      </c>
      <c r="H77" s="44"/>
      <c r="K77" s="44"/>
      <c r="N77" s="44"/>
      <c r="T77" s="44"/>
    </row>
    <row r="78" spans="1:20" x14ac:dyDescent="0.3">
      <c r="A78" s="29" t="s">
        <v>1050</v>
      </c>
      <c r="B78" s="30">
        <v>5860000000</v>
      </c>
      <c r="C78" s="30">
        <f t="shared" si="4"/>
        <v>30000000</v>
      </c>
      <c r="D78" s="32">
        <f t="shared" si="5"/>
        <v>5.145797598627766E-3</v>
      </c>
      <c r="H78" s="44"/>
      <c r="K78" s="44"/>
      <c r="N78" s="44"/>
      <c r="T78" s="44"/>
    </row>
    <row r="79" spans="1:20" x14ac:dyDescent="0.3">
      <c r="A79" s="29" t="s">
        <v>1051</v>
      </c>
      <c r="B79" s="30">
        <v>5810000000</v>
      </c>
      <c r="C79" s="30">
        <f t="shared" si="4"/>
        <v>-50000000</v>
      </c>
      <c r="D79" s="32">
        <f t="shared" si="5"/>
        <v>-8.5324232081911422E-3</v>
      </c>
      <c r="H79" s="44"/>
      <c r="K79" s="44"/>
      <c r="N79" s="44"/>
      <c r="T79" s="44"/>
    </row>
    <row r="80" spans="1:20" x14ac:dyDescent="0.3">
      <c r="A80" s="29" t="s">
        <v>909</v>
      </c>
      <c r="B80" s="30">
        <v>6010000000</v>
      </c>
      <c r="C80" s="30">
        <f t="shared" si="4"/>
        <v>200000000</v>
      </c>
      <c r="D80" s="32">
        <f t="shared" si="5"/>
        <v>3.4423407917383742E-2</v>
      </c>
      <c r="H80" s="44"/>
      <c r="K80" s="44"/>
      <c r="N80" s="44"/>
      <c r="T80" s="44"/>
    </row>
    <row r="81" spans="1:20" x14ac:dyDescent="0.3">
      <c r="A81" s="29" t="s">
        <v>1052</v>
      </c>
      <c r="B81" s="30">
        <v>6170000000</v>
      </c>
      <c r="C81" s="30">
        <f t="shared" si="4"/>
        <v>160000000</v>
      </c>
      <c r="D81" s="32">
        <f t="shared" si="5"/>
        <v>2.6622296173044901E-2</v>
      </c>
      <c r="H81" s="44"/>
      <c r="K81" s="44"/>
      <c r="N81" s="44"/>
      <c r="T81" s="44"/>
    </row>
    <row r="82" spans="1:20" x14ac:dyDescent="0.3">
      <c r="A82" s="29" t="s">
        <v>1053</v>
      </c>
      <c r="B82" s="30">
        <v>6120000000</v>
      </c>
      <c r="C82" s="30">
        <f t="shared" si="4"/>
        <v>-50000000</v>
      </c>
      <c r="D82" s="32">
        <f t="shared" si="5"/>
        <v>-8.1037277147487652E-3</v>
      </c>
      <c r="H82" s="44"/>
      <c r="K82" s="44"/>
      <c r="N82" s="44"/>
      <c r="T82" s="44"/>
    </row>
    <row r="83" spans="1:20" x14ac:dyDescent="0.3">
      <c r="A83" s="29" t="s">
        <v>1054</v>
      </c>
      <c r="B83" s="30">
        <v>6270000000</v>
      </c>
      <c r="C83" s="30">
        <f t="shared" si="4"/>
        <v>150000000</v>
      </c>
      <c r="D83" s="32">
        <f t="shared" si="5"/>
        <v>2.450980392156854E-2</v>
      </c>
      <c r="H83" s="44"/>
      <c r="K83" s="44"/>
      <c r="N83" s="44"/>
      <c r="T83" s="44"/>
    </row>
    <row r="84" spans="1:20" x14ac:dyDescent="0.3">
      <c r="A84" s="29" t="s">
        <v>1055</v>
      </c>
      <c r="B84" s="30">
        <v>6390000000</v>
      </c>
      <c r="C84" s="30">
        <f t="shared" si="4"/>
        <v>120000000</v>
      </c>
      <c r="D84" s="32">
        <f t="shared" si="5"/>
        <v>1.9138755980861344E-2</v>
      </c>
      <c r="H84" s="44"/>
      <c r="K84" s="44"/>
      <c r="N84" s="44"/>
      <c r="T84" s="44"/>
    </row>
    <row r="85" spans="1:20" x14ac:dyDescent="0.3">
      <c r="A85" s="29" t="s">
        <v>910</v>
      </c>
      <c r="B85" s="30">
        <v>6420000000</v>
      </c>
      <c r="C85" s="30">
        <f t="shared" si="4"/>
        <v>30000000</v>
      </c>
      <c r="D85" s="32">
        <f t="shared" si="5"/>
        <v>4.6948356807512415E-3</v>
      </c>
      <c r="H85" s="44"/>
      <c r="K85" s="44"/>
      <c r="N85" s="44"/>
      <c r="T85" s="44"/>
    </row>
    <row r="86" spans="1:20" x14ac:dyDescent="0.3">
      <c r="A86" s="29" t="s">
        <v>1056</v>
      </c>
      <c r="B86" s="30">
        <v>6560000000</v>
      </c>
      <c r="C86" s="30">
        <f t="shared" si="4"/>
        <v>140000000</v>
      </c>
      <c r="D86" s="32">
        <f t="shared" si="5"/>
        <v>2.1806853582554409E-2</v>
      </c>
      <c r="H86" s="44"/>
      <c r="K86" s="44"/>
      <c r="N86" s="44"/>
      <c r="T86" s="44"/>
    </row>
    <row r="87" spans="1:20" x14ac:dyDescent="0.3">
      <c r="A87" s="29" t="s">
        <v>1057</v>
      </c>
      <c r="B87" s="30">
        <v>6590000000</v>
      </c>
      <c r="C87" s="30">
        <f t="shared" si="4"/>
        <v>30000000</v>
      </c>
      <c r="D87" s="32">
        <f t="shared" si="5"/>
        <v>4.5731707317073766E-3</v>
      </c>
      <c r="H87" s="44"/>
      <c r="K87" s="44"/>
      <c r="N87" s="44"/>
      <c r="T87" s="44"/>
    </row>
    <row r="88" spans="1:20" x14ac:dyDescent="0.3">
      <c r="A88" s="29" t="s">
        <v>1058</v>
      </c>
      <c r="B88" s="30">
        <v>6650000000</v>
      </c>
      <c r="C88" s="30">
        <f t="shared" si="4"/>
        <v>60000000</v>
      </c>
      <c r="D88" s="32">
        <f t="shared" si="5"/>
        <v>9.1047040971168336E-3</v>
      </c>
      <c r="H88" s="44"/>
      <c r="K88" s="44"/>
      <c r="N88" s="44"/>
      <c r="T88" s="44"/>
    </row>
    <row r="89" spans="1:20" x14ac:dyDescent="0.3">
      <c r="A89" s="29" t="s">
        <v>1059</v>
      </c>
      <c r="B89" s="30">
        <v>6710000000</v>
      </c>
      <c r="C89" s="30">
        <f t="shared" si="4"/>
        <v>60000000</v>
      </c>
      <c r="D89" s="32">
        <f t="shared" si="5"/>
        <v>9.0225563909773765E-3</v>
      </c>
      <c r="H89" s="44"/>
      <c r="K89" s="44"/>
      <c r="N89" s="44"/>
      <c r="T89" s="44"/>
    </row>
    <row r="90" spans="1:20" x14ac:dyDescent="0.3">
      <c r="A90" s="29" t="s">
        <v>911</v>
      </c>
      <c r="B90" s="30">
        <v>6810000000</v>
      </c>
      <c r="C90" s="30">
        <f t="shared" si="4"/>
        <v>100000000</v>
      </c>
      <c r="D90" s="32">
        <f t="shared" si="5"/>
        <v>1.4903129657227954E-2</v>
      </c>
      <c r="H90" s="44"/>
      <c r="K90" s="44"/>
      <c r="N90" s="44"/>
      <c r="T90" s="44"/>
    </row>
    <row r="91" spans="1:20" x14ac:dyDescent="0.3">
      <c r="A91" s="29" t="s">
        <v>1060</v>
      </c>
      <c r="B91" s="30">
        <v>6840000000</v>
      </c>
      <c r="C91" s="30">
        <f t="shared" si="4"/>
        <v>30000000</v>
      </c>
      <c r="D91" s="32">
        <f t="shared" si="5"/>
        <v>4.405286343612369E-3</v>
      </c>
      <c r="H91" s="44"/>
      <c r="K91" s="44"/>
      <c r="N91" s="44"/>
      <c r="T91" s="44"/>
    </row>
    <row r="92" spans="1:20" x14ac:dyDescent="0.3">
      <c r="A92" s="29" t="s">
        <v>1061</v>
      </c>
      <c r="B92" s="30">
        <v>6850000000</v>
      </c>
      <c r="C92" s="30">
        <f t="shared" si="4"/>
        <v>10000000</v>
      </c>
      <c r="D92" s="32">
        <f t="shared" si="5"/>
        <v>1.4619883040936088E-3</v>
      </c>
      <c r="H92" s="44"/>
      <c r="K92" s="44"/>
      <c r="N92" s="44"/>
      <c r="T92" s="44"/>
    </row>
    <row r="93" spans="1:20" x14ac:dyDescent="0.3">
      <c r="A93" s="29" t="s">
        <v>1062</v>
      </c>
      <c r="B93" s="30">
        <v>6890000000</v>
      </c>
      <c r="C93" s="30">
        <f t="shared" si="4"/>
        <v>40000000</v>
      </c>
      <c r="D93" s="32">
        <f t="shared" si="5"/>
        <v>5.839416058394109E-3</v>
      </c>
      <c r="H93" s="44"/>
      <c r="K93" s="44"/>
      <c r="N93" s="44"/>
      <c r="T93" s="44"/>
    </row>
    <row r="94" spans="1:20" x14ac:dyDescent="0.3">
      <c r="A94" s="29" t="s">
        <v>1063</v>
      </c>
      <c r="B94" s="30">
        <v>7150000000</v>
      </c>
      <c r="C94" s="30">
        <f t="shared" si="4"/>
        <v>260000000</v>
      </c>
      <c r="D94" s="32">
        <f t="shared" si="5"/>
        <v>3.7735849056603765E-2</v>
      </c>
      <c r="H94" s="44"/>
      <c r="K94" s="44"/>
      <c r="N94" s="44"/>
      <c r="T94" s="44"/>
    </row>
    <row r="95" spans="1:20" x14ac:dyDescent="0.3">
      <c r="A95" s="29" t="s">
        <v>912</v>
      </c>
      <c r="B95" s="30">
        <v>7200000000</v>
      </c>
      <c r="C95" s="30">
        <f t="shared" si="4"/>
        <v>50000000</v>
      </c>
      <c r="D95" s="32">
        <f t="shared" si="5"/>
        <v>6.9930069930070893E-3</v>
      </c>
      <c r="H95" s="44"/>
      <c r="K95" s="44"/>
      <c r="N95" s="44"/>
      <c r="T95" s="44"/>
    </row>
    <row r="96" spans="1:20" x14ac:dyDescent="0.3">
      <c r="A96" s="29" t="s">
        <v>1064</v>
      </c>
      <c r="B96" s="30">
        <v>7140000000</v>
      </c>
      <c r="C96" s="30">
        <f t="shared" si="4"/>
        <v>-60000000</v>
      </c>
      <c r="D96" s="32">
        <f t="shared" si="5"/>
        <v>-8.3333333333333037E-3</v>
      </c>
      <c r="H96" s="44"/>
      <c r="K96" s="44"/>
      <c r="N96" s="44"/>
      <c r="T96" s="44"/>
    </row>
    <row r="97" spans="1:20" x14ac:dyDescent="0.3">
      <c r="A97" s="29" t="s">
        <v>1065</v>
      </c>
      <c r="B97" s="30">
        <v>7340000000</v>
      </c>
      <c r="C97" s="30">
        <f t="shared" si="4"/>
        <v>200000000</v>
      </c>
      <c r="D97" s="32">
        <f t="shared" si="5"/>
        <v>2.8011204481792618E-2</v>
      </c>
      <c r="H97" s="44"/>
      <c r="K97" s="44"/>
      <c r="N97" s="44"/>
      <c r="T97" s="44"/>
    </row>
    <row r="98" spans="1:20" x14ac:dyDescent="0.3">
      <c r="A98" s="29" t="s">
        <v>1066</v>
      </c>
      <c r="B98" s="30">
        <v>7370000000</v>
      </c>
      <c r="C98" s="30">
        <f t="shared" si="4"/>
        <v>30000000</v>
      </c>
      <c r="D98" s="32">
        <f t="shared" si="5"/>
        <v>4.0871934604904681E-3</v>
      </c>
      <c r="H98" s="44"/>
      <c r="K98" s="44"/>
      <c r="N98" s="44"/>
      <c r="T98" s="44"/>
    </row>
    <row r="99" spans="1:20" x14ac:dyDescent="0.3">
      <c r="A99" s="29" t="s">
        <v>1067</v>
      </c>
      <c r="B99" s="30">
        <v>7480000000</v>
      </c>
      <c r="C99" s="30">
        <f t="shared" si="4"/>
        <v>110000000</v>
      </c>
      <c r="D99" s="32">
        <f t="shared" si="5"/>
        <v>1.4925373134328401E-2</v>
      </c>
      <c r="H99" s="44"/>
      <c r="K99" s="44"/>
      <c r="N99" s="44"/>
      <c r="T99" s="44"/>
    </row>
    <row r="100" spans="1:20" x14ac:dyDescent="0.3">
      <c r="A100" s="29" t="s">
        <v>913</v>
      </c>
      <c r="B100" s="30">
        <v>7670000000</v>
      </c>
      <c r="C100" s="30">
        <f t="shared" si="4"/>
        <v>190000000</v>
      </c>
      <c r="D100" s="32">
        <f t="shared" si="5"/>
        <v>2.5401069518716568E-2</v>
      </c>
      <c r="H100" s="44"/>
      <c r="K100" s="44"/>
      <c r="N100" s="44"/>
      <c r="T100" s="44"/>
    </row>
    <row r="101" spans="1:20" x14ac:dyDescent="0.3">
      <c r="A101" s="29" t="s">
        <v>1068</v>
      </c>
      <c r="B101" s="30">
        <v>7530000000</v>
      </c>
      <c r="C101" s="30">
        <f t="shared" si="4"/>
        <v>-140000000</v>
      </c>
      <c r="D101" s="32">
        <f t="shared" si="5"/>
        <v>-1.8252933507170832E-2</v>
      </c>
      <c r="H101" s="44"/>
      <c r="K101" s="44"/>
      <c r="N101" s="44"/>
      <c r="T101" s="44"/>
    </row>
    <row r="102" spans="1:20" x14ac:dyDescent="0.3">
      <c r="A102" s="29" t="s">
        <v>1069</v>
      </c>
      <c r="B102" s="30">
        <v>7850000000</v>
      </c>
      <c r="C102" s="30">
        <f t="shared" si="4"/>
        <v>320000000</v>
      </c>
      <c r="D102" s="32">
        <f t="shared" si="5"/>
        <v>4.2496679946879112E-2</v>
      </c>
      <c r="H102" s="44"/>
      <c r="K102" s="44"/>
      <c r="N102" s="44"/>
      <c r="T102" s="44"/>
    </row>
    <row r="103" spans="1:20" x14ac:dyDescent="0.3">
      <c r="A103" s="29" t="s">
        <v>1070</v>
      </c>
      <c r="B103" s="30">
        <v>7730000000</v>
      </c>
      <c r="C103" s="30">
        <f t="shared" si="4"/>
        <v>-120000000</v>
      </c>
      <c r="D103" s="32">
        <f t="shared" si="5"/>
        <v>-1.5286624203821653E-2</v>
      </c>
      <c r="H103" s="44"/>
      <c r="K103" s="44"/>
      <c r="N103" s="44"/>
      <c r="T103" s="44"/>
    </row>
    <row r="104" spans="1:20" x14ac:dyDescent="0.3">
      <c r="A104" s="29" t="s">
        <v>1071</v>
      </c>
      <c r="B104" s="30">
        <v>8020000000</v>
      </c>
      <c r="C104" s="30">
        <f t="shared" si="4"/>
        <v>290000000</v>
      </c>
      <c r="D104" s="32">
        <f t="shared" si="5"/>
        <v>3.7516170763260082E-2</v>
      </c>
      <c r="H104" s="44"/>
      <c r="K104" s="44"/>
      <c r="N104" s="44"/>
      <c r="T104" s="44"/>
    </row>
    <row r="105" spans="1:20" x14ac:dyDescent="0.3">
      <c r="A105" s="29" t="s">
        <v>914</v>
      </c>
      <c r="B105" s="30">
        <v>8110000000</v>
      </c>
      <c r="C105" s="30">
        <f t="shared" si="4"/>
        <v>90000000</v>
      </c>
      <c r="D105" s="32">
        <f t="shared" si="5"/>
        <v>1.122194513715713E-2</v>
      </c>
      <c r="H105" s="44"/>
      <c r="K105" s="44"/>
      <c r="N105" s="44"/>
      <c r="T105" s="44"/>
    </row>
    <row r="106" spans="1:20" x14ac:dyDescent="0.3">
      <c r="A106" s="29" t="s">
        <v>1072</v>
      </c>
      <c r="B106" s="30">
        <v>8040000000</v>
      </c>
      <c r="C106" s="30">
        <f t="shared" si="4"/>
        <v>-70000000</v>
      </c>
      <c r="D106" s="32">
        <f t="shared" si="5"/>
        <v>-8.6313193588162251E-3</v>
      </c>
      <c r="H106" s="44"/>
      <c r="K106" s="44"/>
      <c r="N106" s="44"/>
      <c r="T106" s="44"/>
    </row>
    <row r="107" spans="1:20" x14ac:dyDescent="0.3">
      <c r="A107" s="29" t="s">
        <v>1073</v>
      </c>
      <c r="B107" s="30">
        <v>8170000000</v>
      </c>
      <c r="C107" s="30">
        <f t="shared" si="4"/>
        <v>130000000</v>
      </c>
      <c r="D107" s="32">
        <f t="shared" si="5"/>
        <v>1.6169154228855787E-2</v>
      </c>
      <c r="H107" s="44"/>
      <c r="K107" s="44"/>
      <c r="N107" s="44"/>
      <c r="T107" s="44"/>
    </row>
    <row r="108" spans="1:20" x14ac:dyDescent="0.3">
      <c r="A108" s="29" t="s">
        <v>1074</v>
      </c>
      <c r="B108" s="30">
        <v>8180000000</v>
      </c>
      <c r="C108" s="30">
        <f t="shared" si="4"/>
        <v>10000000</v>
      </c>
      <c r="D108" s="32">
        <f t="shared" si="5"/>
        <v>1.223990208078396E-3</v>
      </c>
      <c r="H108" s="44"/>
      <c r="K108" s="44"/>
      <c r="N108" s="44"/>
      <c r="T108" s="44"/>
    </row>
    <row r="109" spans="1:20" x14ac:dyDescent="0.3">
      <c r="A109" s="29" t="s">
        <v>1075</v>
      </c>
      <c r="B109" s="30">
        <v>8340000000</v>
      </c>
      <c r="C109" s="30">
        <f t="shared" si="4"/>
        <v>160000000</v>
      </c>
      <c r="D109" s="32">
        <f t="shared" si="5"/>
        <v>1.9559902200489088E-2</v>
      </c>
      <c r="H109" s="44"/>
      <c r="K109" s="44"/>
      <c r="N109" s="44"/>
      <c r="T109" s="44"/>
    </row>
    <row r="110" spans="1:20" x14ac:dyDescent="0.3">
      <c r="A110" s="29" t="s">
        <v>915</v>
      </c>
      <c r="B110" s="30">
        <v>8240000000</v>
      </c>
      <c r="C110" s="30">
        <f t="shared" si="4"/>
        <v>-100000000</v>
      </c>
      <c r="D110" s="32">
        <f t="shared" si="5"/>
        <v>-1.1990407673860948E-2</v>
      </c>
      <c r="H110" s="44"/>
      <c r="K110" s="44"/>
      <c r="N110" s="44"/>
      <c r="T110" s="44"/>
    </row>
    <row r="111" spans="1:20" x14ac:dyDescent="0.3">
      <c r="A111" s="29" t="s">
        <v>1076</v>
      </c>
      <c r="B111" s="30">
        <v>8200000000</v>
      </c>
      <c r="C111" s="30">
        <f t="shared" si="4"/>
        <v>-40000000</v>
      </c>
      <c r="D111" s="32">
        <f t="shared" si="5"/>
        <v>-4.8543689320388328E-3</v>
      </c>
      <c r="H111" s="44"/>
      <c r="K111" s="44"/>
      <c r="N111" s="44"/>
      <c r="T111" s="44"/>
    </row>
    <row r="112" spans="1:20" x14ac:dyDescent="0.3">
      <c r="A112" s="29" t="s">
        <v>1077</v>
      </c>
      <c r="B112" s="30">
        <v>8400000000</v>
      </c>
      <c r="C112" s="30">
        <f t="shared" si="4"/>
        <v>200000000</v>
      </c>
      <c r="D112" s="32">
        <f t="shared" si="5"/>
        <v>2.4390243902439046E-2</v>
      </c>
      <c r="H112" s="44"/>
      <c r="K112" s="44"/>
      <c r="N112" s="44"/>
      <c r="T112" s="44"/>
    </row>
    <row r="113" spans="1:20" x14ac:dyDescent="0.3">
      <c r="A113" s="29" t="s">
        <v>1078</v>
      </c>
      <c r="B113" s="30">
        <v>8330000000</v>
      </c>
      <c r="C113" s="30">
        <f t="shared" si="4"/>
        <v>-70000000</v>
      </c>
      <c r="D113" s="32">
        <f t="shared" si="5"/>
        <v>-8.3333333333333037E-3</v>
      </c>
      <c r="H113" s="44"/>
      <c r="K113" s="44"/>
      <c r="N113" s="44"/>
      <c r="T113" s="44"/>
    </row>
    <row r="114" spans="1:20" x14ac:dyDescent="0.3">
      <c r="A114" s="29" t="s">
        <v>1079</v>
      </c>
      <c r="B114" s="30">
        <v>8290000000</v>
      </c>
      <c r="C114" s="30">
        <f t="shared" si="4"/>
        <v>-40000000</v>
      </c>
      <c r="D114" s="32">
        <f t="shared" si="5"/>
        <v>-4.8019207683073217E-3</v>
      </c>
      <c r="H114" s="44"/>
      <c r="K114" s="44"/>
      <c r="N114" s="44"/>
      <c r="T114" s="44"/>
    </row>
    <row r="115" spans="1:20" x14ac:dyDescent="0.3">
      <c r="A115" s="29" t="s">
        <v>916</v>
      </c>
      <c r="B115" s="30">
        <v>8380000000</v>
      </c>
      <c r="C115" s="30">
        <f t="shared" si="4"/>
        <v>90000000</v>
      </c>
      <c r="D115" s="32">
        <f t="shared" si="5"/>
        <v>1.0856453558504287E-2</v>
      </c>
      <c r="H115" s="44"/>
      <c r="K115" s="44"/>
      <c r="N115" s="44"/>
      <c r="T115" s="44"/>
    </row>
    <row r="116" spans="1:20" x14ac:dyDescent="0.3">
      <c r="A116" s="29" t="s">
        <v>892</v>
      </c>
      <c r="B116" s="44">
        <v>8190000000</v>
      </c>
      <c r="C116" s="30">
        <f t="shared" ref="C116" si="6">B116-B115</f>
        <v>-190000000</v>
      </c>
      <c r="D116" s="32">
        <f t="shared" ref="D116" si="7">(B116/B115)-1</f>
        <v>-2.2673031026252954E-2</v>
      </c>
      <c r="H116" s="44"/>
      <c r="K116" s="44"/>
      <c r="N116" s="44"/>
    </row>
    <row r="117" spans="1:20" x14ac:dyDescent="0.3">
      <c r="A117" s="29" t="s">
        <v>931</v>
      </c>
      <c r="B117" s="44">
        <v>9400000000</v>
      </c>
      <c r="C117" s="30">
        <f t="shared" ref="C117:C156" si="8">B117-B116</f>
        <v>1210000000</v>
      </c>
      <c r="D117" s="32">
        <f t="shared" ref="D117:D156" si="9">(B117/B116)-1</f>
        <v>0.14774114774114766</v>
      </c>
      <c r="H117" s="44"/>
      <c r="K117" s="44"/>
      <c r="N117" s="44"/>
    </row>
    <row r="118" spans="1:20" x14ac:dyDescent="0.3">
      <c r="A118" s="29" t="s">
        <v>932</v>
      </c>
      <c r="B118" s="44">
        <v>10600000000</v>
      </c>
      <c r="C118" s="30">
        <f t="shared" si="8"/>
        <v>1200000000</v>
      </c>
      <c r="D118" s="32">
        <f t="shared" si="9"/>
        <v>0.12765957446808507</v>
      </c>
      <c r="H118" s="44"/>
      <c r="K118" s="44"/>
      <c r="N118" s="44"/>
    </row>
    <row r="119" spans="1:20" x14ac:dyDescent="0.3">
      <c r="A119" s="29" t="s">
        <v>933</v>
      </c>
      <c r="B119" s="44">
        <v>11700000000</v>
      </c>
      <c r="C119" s="30">
        <f t="shared" si="8"/>
        <v>1100000000</v>
      </c>
      <c r="D119" s="32">
        <f t="shared" si="9"/>
        <v>0.10377358490566047</v>
      </c>
      <c r="H119" s="44"/>
      <c r="K119" s="44"/>
      <c r="N119" s="44"/>
    </row>
    <row r="120" spans="1:20" x14ac:dyDescent="0.3">
      <c r="A120" s="29" t="s">
        <v>934</v>
      </c>
      <c r="B120" s="44">
        <v>13200000000</v>
      </c>
      <c r="C120" s="30">
        <f t="shared" si="8"/>
        <v>1500000000</v>
      </c>
      <c r="D120" s="32">
        <f t="shared" si="9"/>
        <v>0.12820512820512819</v>
      </c>
      <c r="H120" s="44"/>
      <c r="K120" s="44"/>
      <c r="N120" s="44"/>
    </row>
    <row r="121" spans="1:20" x14ac:dyDescent="0.3">
      <c r="A121" s="29" t="s">
        <v>917</v>
      </c>
      <c r="B121" s="44">
        <v>14700000000</v>
      </c>
      <c r="C121" s="30">
        <f t="shared" si="8"/>
        <v>1500000000</v>
      </c>
      <c r="D121" s="32">
        <f t="shared" si="9"/>
        <v>0.11363636363636354</v>
      </c>
      <c r="H121" s="44"/>
      <c r="K121" s="44"/>
      <c r="N121" s="44"/>
    </row>
    <row r="122" spans="1:20" x14ac:dyDescent="0.3">
      <c r="A122" s="29" t="s">
        <v>935</v>
      </c>
      <c r="B122" s="44">
        <v>15800000000</v>
      </c>
      <c r="C122" s="30">
        <f t="shared" si="8"/>
        <v>1100000000</v>
      </c>
      <c r="D122" s="32">
        <f t="shared" si="9"/>
        <v>7.4829931972789199E-2</v>
      </c>
      <c r="H122" s="44"/>
      <c r="K122" s="44"/>
      <c r="N122" s="44"/>
    </row>
    <row r="123" spans="1:20" x14ac:dyDescent="0.3">
      <c r="A123" s="29" t="s">
        <v>936</v>
      </c>
      <c r="B123" s="44">
        <v>16800000000</v>
      </c>
      <c r="C123" s="30">
        <f t="shared" si="8"/>
        <v>1000000000</v>
      </c>
      <c r="D123" s="32">
        <f t="shared" si="9"/>
        <v>6.3291139240506222E-2</v>
      </c>
      <c r="H123" s="44"/>
      <c r="K123" s="44"/>
      <c r="N123" s="44"/>
    </row>
    <row r="124" spans="1:20" x14ac:dyDescent="0.3">
      <c r="A124" s="29" t="s">
        <v>937</v>
      </c>
      <c r="B124" s="44">
        <v>18500000000</v>
      </c>
      <c r="C124" s="30">
        <f t="shared" si="8"/>
        <v>1700000000</v>
      </c>
      <c r="D124" s="32">
        <f t="shared" si="9"/>
        <v>0.10119047619047628</v>
      </c>
      <c r="H124" s="44"/>
      <c r="K124" s="44"/>
      <c r="N124" s="44"/>
    </row>
    <row r="125" spans="1:20" x14ac:dyDescent="0.3">
      <c r="A125" s="29" t="s">
        <v>938</v>
      </c>
      <c r="B125" s="44">
        <v>19100000000</v>
      </c>
      <c r="C125" s="30">
        <f t="shared" si="8"/>
        <v>600000000</v>
      </c>
      <c r="D125" s="32">
        <f t="shared" si="9"/>
        <v>3.2432432432432323E-2</v>
      </c>
      <c r="H125" s="44"/>
      <c r="K125" s="44"/>
      <c r="N125" s="44"/>
    </row>
    <row r="126" spans="1:20" x14ac:dyDescent="0.3">
      <c r="A126" s="29" t="s">
        <v>918</v>
      </c>
      <c r="B126" s="44">
        <v>20500000000</v>
      </c>
      <c r="C126" s="30">
        <f t="shared" si="8"/>
        <v>1400000000</v>
      </c>
      <c r="D126" s="32">
        <f t="shared" si="9"/>
        <v>7.3298429319371694E-2</v>
      </c>
      <c r="H126" s="44"/>
      <c r="K126" s="44"/>
      <c r="N126" s="44"/>
    </row>
    <row r="127" spans="1:20" x14ac:dyDescent="0.3">
      <c r="A127" s="29" t="s">
        <v>939</v>
      </c>
      <c r="B127" s="44">
        <v>21800000000</v>
      </c>
      <c r="C127" s="30">
        <f t="shared" si="8"/>
        <v>1300000000</v>
      </c>
      <c r="D127" s="32">
        <f t="shared" si="9"/>
        <v>6.341463414634152E-2</v>
      </c>
      <c r="E127" s="37"/>
      <c r="H127" s="44"/>
      <c r="K127" s="44"/>
      <c r="N127" s="44"/>
    </row>
    <row r="128" spans="1:20" x14ac:dyDescent="0.3">
      <c r="A128" s="29" t="s">
        <v>940</v>
      </c>
      <c r="B128" s="44">
        <v>22700000000</v>
      </c>
      <c r="C128" s="30">
        <f t="shared" si="8"/>
        <v>900000000</v>
      </c>
      <c r="D128" s="32">
        <f t="shared" si="9"/>
        <v>4.1284403669724856E-2</v>
      </c>
      <c r="H128" s="44"/>
      <c r="K128" s="44"/>
      <c r="N128" s="44"/>
    </row>
    <row r="129" spans="1:14" x14ac:dyDescent="0.3">
      <c r="A129" s="29" t="s">
        <v>941</v>
      </c>
      <c r="B129" s="44">
        <v>24400000000</v>
      </c>
      <c r="C129" s="30">
        <f t="shared" si="8"/>
        <v>1700000000</v>
      </c>
      <c r="D129" s="32">
        <f t="shared" si="9"/>
        <v>7.4889867841409608E-2</v>
      </c>
      <c r="H129" s="44"/>
      <c r="K129" s="44"/>
      <c r="N129" s="44"/>
    </row>
    <row r="130" spans="1:14" x14ac:dyDescent="0.3">
      <c r="A130" s="29" t="s">
        <v>942</v>
      </c>
      <c r="B130" s="44">
        <v>25200000000</v>
      </c>
      <c r="C130" s="30">
        <f t="shared" si="8"/>
        <v>800000000</v>
      </c>
      <c r="D130" s="32">
        <f t="shared" si="9"/>
        <v>3.2786885245901676E-2</v>
      </c>
      <c r="H130" s="44"/>
      <c r="K130" s="44"/>
      <c r="N130" s="44"/>
    </row>
    <row r="131" spans="1:14" x14ac:dyDescent="0.3">
      <c r="A131" s="29" t="s">
        <v>919</v>
      </c>
      <c r="B131" s="44">
        <v>26900000000</v>
      </c>
      <c r="C131" s="30">
        <f t="shared" si="8"/>
        <v>1700000000</v>
      </c>
      <c r="D131" s="32">
        <f t="shared" si="9"/>
        <v>6.7460317460317443E-2</v>
      </c>
      <c r="H131" s="44"/>
      <c r="K131" s="44"/>
      <c r="N131" s="44"/>
    </row>
    <row r="132" spans="1:14" x14ac:dyDescent="0.3">
      <c r="A132" s="29" t="s">
        <v>943</v>
      </c>
      <c r="B132" s="44">
        <v>27800000000</v>
      </c>
      <c r="C132" s="30">
        <f t="shared" si="8"/>
        <v>900000000</v>
      </c>
      <c r="D132" s="32">
        <f t="shared" si="9"/>
        <v>3.3457249070631967E-2</v>
      </c>
      <c r="H132" s="44"/>
      <c r="K132" s="44"/>
      <c r="N132" s="44"/>
    </row>
    <row r="133" spans="1:14" x14ac:dyDescent="0.3">
      <c r="A133" s="29" t="s">
        <v>944</v>
      </c>
      <c r="B133" s="44">
        <v>29000000000</v>
      </c>
      <c r="C133" s="30">
        <f t="shared" si="8"/>
        <v>1200000000</v>
      </c>
      <c r="D133" s="32">
        <f t="shared" si="9"/>
        <v>4.3165467625899234E-2</v>
      </c>
      <c r="H133" s="44"/>
      <c r="K133" s="44"/>
      <c r="N133" s="44"/>
    </row>
    <row r="134" spans="1:14" x14ac:dyDescent="0.3">
      <c r="A134" s="29" t="s">
        <v>945</v>
      </c>
      <c r="B134" s="44">
        <v>30200000000</v>
      </c>
      <c r="C134" s="30">
        <f t="shared" si="8"/>
        <v>1200000000</v>
      </c>
      <c r="D134" s="32">
        <f t="shared" si="9"/>
        <v>4.1379310344827669E-2</v>
      </c>
      <c r="H134" s="44"/>
      <c r="K134" s="44"/>
      <c r="N134" s="44"/>
    </row>
    <row r="135" spans="1:14" x14ac:dyDescent="0.3">
      <c r="A135" s="29" t="s">
        <v>946</v>
      </c>
      <c r="B135" s="44">
        <v>30100000000</v>
      </c>
      <c r="C135" s="30">
        <f t="shared" si="8"/>
        <v>-100000000</v>
      </c>
      <c r="D135" s="32">
        <f t="shared" si="9"/>
        <v>-3.3112582781457123E-3</v>
      </c>
      <c r="H135" s="44"/>
      <c r="K135" s="44"/>
      <c r="N135" s="44"/>
    </row>
    <row r="136" spans="1:14" x14ac:dyDescent="0.3">
      <c r="A136" s="29" t="s">
        <v>920</v>
      </c>
      <c r="B136" s="44">
        <v>31800000000</v>
      </c>
      <c r="C136" s="30">
        <f t="shared" si="8"/>
        <v>1700000000</v>
      </c>
      <c r="D136" s="32">
        <f t="shared" si="9"/>
        <v>5.6478405315614655E-2</v>
      </c>
      <c r="H136" s="44"/>
      <c r="K136" s="44"/>
      <c r="N136" s="44"/>
    </row>
    <row r="137" spans="1:14" x14ac:dyDescent="0.3">
      <c r="A137" s="29" t="s">
        <v>893</v>
      </c>
      <c r="B137" s="44">
        <v>40000000000</v>
      </c>
      <c r="C137" s="30">
        <f t="shared" si="8"/>
        <v>8200000000</v>
      </c>
      <c r="D137" s="32">
        <f t="shared" si="9"/>
        <v>0.25786163522012573</v>
      </c>
      <c r="H137" s="44"/>
      <c r="K137" s="44"/>
      <c r="N137" s="44"/>
    </row>
    <row r="138" spans="1:14" x14ac:dyDescent="0.3">
      <c r="A138" s="29" t="s">
        <v>947</v>
      </c>
      <c r="B138" s="44">
        <v>37200000000</v>
      </c>
      <c r="C138" s="30">
        <f t="shared" si="8"/>
        <v>-2800000000</v>
      </c>
      <c r="D138" s="32">
        <f t="shared" si="9"/>
        <v>-6.9999999999999951E-2</v>
      </c>
      <c r="E138" s="37"/>
      <c r="H138" s="44"/>
      <c r="K138" s="44"/>
      <c r="N138" s="44"/>
    </row>
    <row r="139" spans="1:14" x14ac:dyDescent="0.3">
      <c r="A139" s="29" t="s">
        <v>948</v>
      </c>
      <c r="B139" s="44">
        <v>35400000000</v>
      </c>
      <c r="C139" s="30">
        <f t="shared" si="8"/>
        <v>-1800000000</v>
      </c>
      <c r="D139" s="32">
        <f t="shared" si="9"/>
        <v>-4.8387096774193505E-2</v>
      </c>
      <c r="H139" s="44"/>
      <c r="K139" s="44"/>
      <c r="N139" s="44"/>
    </row>
    <row r="140" spans="1:14" x14ac:dyDescent="0.3">
      <c r="A140" s="29" t="s">
        <v>949</v>
      </c>
      <c r="B140" s="44">
        <v>31700000000</v>
      </c>
      <c r="C140" s="30">
        <f t="shared" si="8"/>
        <v>-3700000000</v>
      </c>
      <c r="D140" s="32">
        <f t="shared" si="9"/>
        <v>-0.10451977401129942</v>
      </c>
      <c r="H140" s="44"/>
      <c r="K140" s="44"/>
      <c r="N140" s="44"/>
    </row>
    <row r="141" spans="1:14" x14ac:dyDescent="0.3">
      <c r="A141" s="29" t="s">
        <v>921</v>
      </c>
      <c r="B141" s="44">
        <v>29900000000</v>
      </c>
      <c r="C141" s="30">
        <f t="shared" si="8"/>
        <v>-1800000000</v>
      </c>
      <c r="D141" s="32">
        <f t="shared" si="9"/>
        <v>-5.6782334384858024E-2</v>
      </c>
      <c r="H141" s="44"/>
      <c r="K141" s="44"/>
      <c r="N141" s="44"/>
    </row>
    <row r="142" spans="1:14" x14ac:dyDescent="0.3">
      <c r="A142" s="29" t="s">
        <v>950</v>
      </c>
      <c r="B142" s="44">
        <v>29300000000</v>
      </c>
      <c r="C142" s="30">
        <f t="shared" si="8"/>
        <v>-600000000</v>
      </c>
      <c r="D142" s="32">
        <f t="shared" si="9"/>
        <v>-2.006688963210701E-2</v>
      </c>
      <c r="E142" s="37"/>
      <c r="H142" s="44"/>
      <c r="K142" s="44"/>
      <c r="N142" s="44"/>
    </row>
    <row r="143" spans="1:14" x14ac:dyDescent="0.3">
      <c r="A143" s="29" t="s">
        <v>951</v>
      </c>
      <c r="B143" s="44">
        <v>28500000000</v>
      </c>
      <c r="C143" s="30">
        <f t="shared" si="8"/>
        <v>-800000000</v>
      </c>
      <c r="D143" s="32">
        <f t="shared" si="9"/>
        <v>-2.7303754266211566E-2</v>
      </c>
      <c r="H143" s="44"/>
      <c r="K143" s="44"/>
      <c r="N143" s="44"/>
    </row>
    <row r="144" spans="1:14" x14ac:dyDescent="0.3">
      <c r="A144" s="29" t="s">
        <v>952</v>
      </c>
      <c r="B144" s="44">
        <v>27400000000</v>
      </c>
      <c r="C144" s="30">
        <f t="shared" si="8"/>
        <v>-1100000000</v>
      </c>
      <c r="D144" s="32">
        <f t="shared" si="9"/>
        <v>-3.8596491228070184E-2</v>
      </c>
      <c r="H144" s="44"/>
      <c r="K144" s="44"/>
      <c r="N144" s="44"/>
    </row>
    <row r="145" spans="1:14" x14ac:dyDescent="0.3">
      <c r="A145" s="29" t="s">
        <v>953</v>
      </c>
      <c r="B145" s="44">
        <v>26800000000</v>
      </c>
      <c r="C145" s="30">
        <f t="shared" si="8"/>
        <v>-600000000</v>
      </c>
      <c r="D145" s="32">
        <f t="shared" si="9"/>
        <v>-2.1897810218978075E-2</v>
      </c>
      <c r="H145" s="44"/>
      <c r="K145" s="44"/>
      <c r="N145" s="44"/>
    </row>
    <row r="146" spans="1:14" x14ac:dyDescent="0.3">
      <c r="A146" s="29" t="s">
        <v>922</v>
      </c>
      <c r="B146" s="44">
        <v>26600000000</v>
      </c>
      <c r="C146" s="30">
        <f t="shared" si="8"/>
        <v>-200000000</v>
      </c>
      <c r="D146" s="32">
        <f t="shared" si="9"/>
        <v>-7.4626865671642006E-3</v>
      </c>
      <c r="H146" s="44"/>
      <c r="K146" s="44"/>
      <c r="N146" s="44"/>
    </row>
    <row r="147" spans="1:14" x14ac:dyDescent="0.3">
      <c r="A147" s="29" t="s">
        <v>954</v>
      </c>
      <c r="B147" s="44">
        <v>25900000000</v>
      </c>
      <c r="C147" s="30">
        <f t="shared" si="8"/>
        <v>-700000000</v>
      </c>
      <c r="D147" s="32">
        <f t="shared" si="9"/>
        <v>-2.6315789473684181E-2</v>
      </c>
      <c r="H147" s="44"/>
      <c r="K147" s="44"/>
      <c r="N147" s="44"/>
    </row>
    <row r="148" spans="1:14" x14ac:dyDescent="0.3">
      <c r="A148" s="29" t="s">
        <v>955</v>
      </c>
      <c r="B148" s="44">
        <v>25200000000</v>
      </c>
      <c r="C148" s="30">
        <f t="shared" si="8"/>
        <v>-700000000</v>
      </c>
      <c r="D148" s="32">
        <f t="shared" si="9"/>
        <v>-2.7027027027026973E-2</v>
      </c>
      <c r="H148" s="44"/>
      <c r="K148" s="44"/>
      <c r="N148" s="44"/>
    </row>
    <row r="149" spans="1:14" x14ac:dyDescent="0.3">
      <c r="A149" s="29" t="s">
        <v>956</v>
      </c>
      <c r="B149" s="44">
        <v>24500000000</v>
      </c>
      <c r="C149" s="30">
        <f t="shared" si="8"/>
        <v>-700000000</v>
      </c>
      <c r="D149" s="32">
        <f t="shared" si="9"/>
        <v>-2.777777777777779E-2</v>
      </c>
      <c r="H149" s="44"/>
      <c r="K149" s="44"/>
      <c r="N149" s="44"/>
    </row>
    <row r="150" spans="1:14" x14ac:dyDescent="0.3">
      <c r="A150" s="29" t="s">
        <v>957</v>
      </c>
      <c r="B150" s="44">
        <v>24500000000</v>
      </c>
      <c r="C150" s="30">
        <f t="shared" si="8"/>
        <v>0</v>
      </c>
      <c r="D150" s="32">
        <f t="shared" si="9"/>
        <v>0</v>
      </c>
      <c r="H150" s="44"/>
      <c r="K150" s="44"/>
      <c r="N150" s="44"/>
    </row>
    <row r="151" spans="1:14" x14ac:dyDescent="0.3">
      <c r="A151" s="29" t="s">
        <v>923</v>
      </c>
      <c r="B151" s="44">
        <v>23200000000</v>
      </c>
      <c r="C151" s="30">
        <f t="shared" si="8"/>
        <v>-1300000000</v>
      </c>
      <c r="D151" s="32">
        <f t="shared" si="9"/>
        <v>-5.3061224489795888E-2</v>
      </c>
      <c r="H151" s="44"/>
      <c r="K151" s="44"/>
      <c r="N151" s="44"/>
    </row>
    <row r="152" spans="1:14" x14ac:dyDescent="0.3">
      <c r="A152" s="29" t="s">
        <v>958</v>
      </c>
      <c r="B152" s="44">
        <v>22800000000</v>
      </c>
      <c r="C152" s="30">
        <f t="shared" si="8"/>
        <v>-400000000</v>
      </c>
      <c r="D152" s="32">
        <f t="shared" si="9"/>
        <v>-1.7241379310344862E-2</v>
      </c>
      <c r="E152" s="37"/>
      <c r="H152" s="44"/>
      <c r="N152" s="44"/>
    </row>
    <row r="153" spans="1:14" x14ac:dyDescent="0.3">
      <c r="A153" s="29" t="s">
        <v>959</v>
      </c>
      <c r="B153" s="44">
        <v>22400000000</v>
      </c>
      <c r="C153" s="30">
        <f t="shared" si="8"/>
        <v>-400000000</v>
      </c>
      <c r="D153" s="32">
        <f t="shared" si="9"/>
        <v>-1.7543859649122862E-2</v>
      </c>
      <c r="H153" s="44"/>
      <c r="N153" s="44"/>
    </row>
    <row r="154" spans="1:14" x14ac:dyDescent="0.3">
      <c r="A154" s="29" t="s">
        <v>960</v>
      </c>
      <c r="B154" s="44">
        <v>21700000000</v>
      </c>
      <c r="C154" s="30">
        <f t="shared" si="8"/>
        <v>-700000000</v>
      </c>
      <c r="D154" s="32">
        <f t="shared" si="9"/>
        <v>-3.125E-2</v>
      </c>
      <c r="H154" s="44"/>
      <c r="N154" s="44"/>
    </row>
    <row r="155" spans="1:14" x14ac:dyDescent="0.3">
      <c r="A155" s="29" t="s">
        <v>961</v>
      </c>
      <c r="B155" s="44">
        <v>21200000000</v>
      </c>
      <c r="C155" s="30">
        <f t="shared" si="8"/>
        <v>-500000000</v>
      </c>
      <c r="D155" s="32">
        <f t="shared" si="9"/>
        <v>-2.3041474654377891E-2</v>
      </c>
      <c r="H155" s="44"/>
      <c r="N155" s="44"/>
    </row>
    <row r="156" spans="1:14" x14ac:dyDescent="0.3">
      <c r="A156" s="29" t="s">
        <v>924</v>
      </c>
      <c r="B156" s="44">
        <v>20700000000</v>
      </c>
      <c r="C156" s="30">
        <f t="shared" si="8"/>
        <v>-500000000</v>
      </c>
      <c r="D156" s="32">
        <f t="shared" si="9"/>
        <v>-2.3584905660377409E-2</v>
      </c>
      <c r="H156" s="44"/>
      <c r="N156" s="44"/>
    </row>
    <row r="157" spans="1:14" x14ac:dyDescent="0.3">
      <c r="A157" s="29" t="s">
        <v>962</v>
      </c>
      <c r="B157" s="44">
        <v>19700000000</v>
      </c>
      <c r="C157" s="30">
        <f t="shared" ref="C157:C192" si="10">B157-B156</f>
        <v>-1000000000</v>
      </c>
      <c r="D157" s="32">
        <f t="shared" ref="D157:D192" si="11">(B157/B156)-1</f>
        <v>-4.8309178743961345E-2</v>
      </c>
      <c r="H157" s="44"/>
      <c r="N157" s="44"/>
    </row>
    <row r="158" spans="1:14" x14ac:dyDescent="0.3">
      <c r="A158" s="29" t="s">
        <v>963</v>
      </c>
      <c r="B158" s="44">
        <v>18800000000</v>
      </c>
      <c r="C158" s="30">
        <f t="shared" si="10"/>
        <v>-900000000</v>
      </c>
      <c r="D158" s="32">
        <f t="shared" si="11"/>
        <v>-4.5685279187817285E-2</v>
      </c>
      <c r="H158" s="44"/>
      <c r="N158" s="44"/>
    </row>
    <row r="159" spans="1:14" x14ac:dyDescent="0.3">
      <c r="A159" s="29" t="s">
        <v>964</v>
      </c>
      <c r="B159" s="44">
        <v>18500000000</v>
      </c>
      <c r="C159" s="30">
        <f t="shared" si="10"/>
        <v>-300000000</v>
      </c>
      <c r="D159" s="32">
        <f t="shared" si="11"/>
        <v>-1.5957446808510634E-2</v>
      </c>
      <c r="H159" s="44"/>
      <c r="N159" s="44"/>
    </row>
    <row r="160" spans="1:14" x14ac:dyDescent="0.3">
      <c r="A160" s="29" t="s">
        <v>965</v>
      </c>
      <c r="B160" s="44">
        <v>17800000000</v>
      </c>
      <c r="C160" s="30">
        <f t="shared" si="10"/>
        <v>-700000000</v>
      </c>
      <c r="D160" s="32">
        <f t="shared" si="11"/>
        <v>-3.7837837837837784E-2</v>
      </c>
      <c r="H160" s="44"/>
      <c r="N160" s="44"/>
    </row>
    <row r="161" spans="1:14" x14ac:dyDescent="0.3">
      <c r="A161" s="29" t="s">
        <v>925</v>
      </c>
      <c r="B161" s="44">
        <v>17300000000</v>
      </c>
      <c r="C161" s="30">
        <f t="shared" si="10"/>
        <v>-500000000</v>
      </c>
      <c r="D161" s="32">
        <f t="shared" si="11"/>
        <v>-2.8089887640449396E-2</v>
      </c>
      <c r="E161" s="37"/>
      <c r="H161" s="44"/>
      <c r="N161" s="44"/>
    </row>
    <row r="162" spans="1:14" x14ac:dyDescent="0.3">
      <c r="A162" s="29" t="s">
        <v>966</v>
      </c>
      <c r="B162" s="44">
        <v>17000000000</v>
      </c>
      <c r="C162" s="30">
        <f t="shared" si="10"/>
        <v>-300000000</v>
      </c>
      <c r="D162" s="32">
        <f t="shared" si="11"/>
        <v>-1.7341040462427793E-2</v>
      </c>
      <c r="H162" s="44"/>
      <c r="N162" s="44"/>
    </row>
    <row r="163" spans="1:14" x14ac:dyDescent="0.3">
      <c r="A163" s="29" t="s">
        <v>967</v>
      </c>
      <c r="B163" s="44">
        <v>16100000000</v>
      </c>
      <c r="C163" s="30">
        <f t="shared" si="10"/>
        <v>-900000000</v>
      </c>
      <c r="D163" s="32">
        <f t="shared" si="11"/>
        <v>-5.2941176470588269E-2</v>
      </c>
      <c r="H163" s="44"/>
      <c r="N163" s="44"/>
    </row>
    <row r="164" spans="1:14" x14ac:dyDescent="0.3">
      <c r="A164" s="29" t="s">
        <v>968</v>
      </c>
      <c r="B164" s="44">
        <v>15700000000</v>
      </c>
      <c r="C164" s="30">
        <f t="shared" si="10"/>
        <v>-400000000</v>
      </c>
      <c r="D164" s="32">
        <f t="shared" si="11"/>
        <v>-2.4844720496894457E-2</v>
      </c>
      <c r="H164" s="44"/>
      <c r="N164" s="44"/>
    </row>
    <row r="165" spans="1:14" x14ac:dyDescent="0.3">
      <c r="A165" s="29" t="s">
        <v>969</v>
      </c>
      <c r="B165" s="44">
        <v>15300000000</v>
      </c>
      <c r="C165" s="30">
        <f t="shared" si="10"/>
        <v>-400000000</v>
      </c>
      <c r="D165" s="32">
        <f t="shared" si="11"/>
        <v>-2.5477707006369421E-2</v>
      </c>
      <c r="H165" s="44"/>
      <c r="N165" s="44"/>
    </row>
    <row r="166" spans="1:14" x14ac:dyDescent="0.3">
      <c r="A166" s="29" t="s">
        <v>926</v>
      </c>
      <c r="B166" s="44">
        <v>14900000000</v>
      </c>
      <c r="C166" s="30">
        <f t="shared" si="10"/>
        <v>-400000000</v>
      </c>
      <c r="D166" s="32">
        <f t="shared" si="11"/>
        <v>-2.6143790849673221E-2</v>
      </c>
      <c r="H166" s="44"/>
      <c r="N166" s="44"/>
    </row>
    <row r="167" spans="1:14" x14ac:dyDescent="0.3">
      <c r="A167" s="29" t="s">
        <v>970</v>
      </c>
      <c r="B167" s="44">
        <v>14900000000</v>
      </c>
      <c r="C167" s="30">
        <f t="shared" si="10"/>
        <v>0</v>
      </c>
      <c r="D167" s="32">
        <f t="shared" si="11"/>
        <v>0</v>
      </c>
      <c r="E167" s="37"/>
      <c r="H167" s="44"/>
      <c r="N167" s="44"/>
    </row>
    <row r="168" spans="1:14" x14ac:dyDescent="0.3">
      <c r="A168" s="29" t="s">
        <v>971</v>
      </c>
      <c r="B168" s="44">
        <v>14500000000</v>
      </c>
      <c r="C168" s="30">
        <f t="shared" si="10"/>
        <v>-400000000</v>
      </c>
      <c r="D168" s="32">
        <f t="shared" si="11"/>
        <v>-2.6845637583892579E-2</v>
      </c>
      <c r="H168" s="44"/>
      <c r="N168" s="44"/>
    </row>
    <row r="169" spans="1:14" x14ac:dyDescent="0.3">
      <c r="A169" s="29" t="s">
        <v>972</v>
      </c>
      <c r="B169" s="44">
        <v>14600000000</v>
      </c>
      <c r="C169" s="30">
        <f t="shared" si="10"/>
        <v>100000000</v>
      </c>
      <c r="D169" s="32">
        <f t="shared" si="11"/>
        <v>6.8965517241379448E-3</v>
      </c>
      <c r="H169" s="44"/>
      <c r="N169" s="44"/>
    </row>
    <row r="170" spans="1:14" x14ac:dyDescent="0.3">
      <c r="A170" s="29" t="s">
        <v>973</v>
      </c>
      <c r="B170" s="44">
        <v>14700000000</v>
      </c>
      <c r="C170" s="30">
        <f t="shared" si="10"/>
        <v>100000000</v>
      </c>
      <c r="D170" s="32">
        <f t="shared" si="11"/>
        <v>6.8493150684931781E-3</v>
      </c>
      <c r="H170" s="44"/>
      <c r="N170" s="44"/>
    </row>
    <row r="171" spans="1:14" x14ac:dyDescent="0.3">
      <c r="A171" s="29" t="s">
        <v>927</v>
      </c>
      <c r="B171" s="44">
        <v>14700000000</v>
      </c>
      <c r="C171" s="30">
        <f t="shared" si="10"/>
        <v>0</v>
      </c>
      <c r="D171" s="32">
        <f t="shared" si="11"/>
        <v>0</v>
      </c>
      <c r="H171" s="44"/>
      <c r="N171" s="44"/>
    </row>
    <row r="172" spans="1:14" x14ac:dyDescent="0.3">
      <c r="A172" s="29" t="s">
        <v>974</v>
      </c>
      <c r="B172" s="44">
        <v>14600000000</v>
      </c>
      <c r="C172" s="30">
        <f t="shared" si="10"/>
        <v>-100000000</v>
      </c>
      <c r="D172" s="32">
        <f t="shared" si="11"/>
        <v>-6.8027210884353817E-3</v>
      </c>
      <c r="H172" s="44"/>
      <c r="N172" s="44"/>
    </row>
    <row r="173" spans="1:14" x14ac:dyDescent="0.3">
      <c r="A173" s="29" t="s">
        <v>975</v>
      </c>
      <c r="B173" s="44">
        <v>14400000000</v>
      </c>
      <c r="C173" s="30">
        <f t="shared" si="10"/>
        <v>-200000000</v>
      </c>
      <c r="D173" s="32">
        <f t="shared" si="11"/>
        <v>-1.3698630136986356E-2</v>
      </c>
      <c r="H173" s="44"/>
      <c r="N173" s="44"/>
    </row>
    <row r="174" spans="1:14" x14ac:dyDescent="0.3">
      <c r="A174" s="29" t="s">
        <v>976</v>
      </c>
      <c r="B174" s="44">
        <v>13900000000</v>
      </c>
      <c r="C174" s="30">
        <f t="shared" si="10"/>
        <v>-500000000</v>
      </c>
      <c r="D174" s="32">
        <f t="shared" si="11"/>
        <v>-3.472222222222221E-2</v>
      </c>
      <c r="E174" s="37"/>
      <c r="H174" s="44"/>
      <c r="N174" s="44"/>
    </row>
    <row r="175" spans="1:14" x14ac:dyDescent="0.3">
      <c r="A175" s="29" t="s">
        <v>977</v>
      </c>
      <c r="B175" s="44">
        <v>14200000000</v>
      </c>
      <c r="C175" s="30">
        <f t="shared" si="10"/>
        <v>300000000</v>
      </c>
      <c r="D175" s="32">
        <f t="shared" si="11"/>
        <v>2.1582733812949728E-2</v>
      </c>
      <c r="E175" s="37"/>
      <c r="H175" s="44"/>
      <c r="N175" s="44"/>
    </row>
    <row r="176" spans="1:14" x14ac:dyDescent="0.3">
      <c r="A176" s="29" t="s">
        <v>894</v>
      </c>
      <c r="B176" s="44">
        <v>13900000000</v>
      </c>
      <c r="C176" s="30">
        <f t="shared" si="10"/>
        <v>-300000000</v>
      </c>
      <c r="D176" s="32">
        <f t="shared" si="11"/>
        <v>-2.1126760563380254E-2</v>
      </c>
      <c r="H176" s="44"/>
      <c r="N176" s="44"/>
    </row>
    <row r="177" spans="1:14" x14ac:dyDescent="0.3">
      <c r="A177" s="29" t="s">
        <v>978</v>
      </c>
      <c r="B177" s="44">
        <v>14200000000</v>
      </c>
      <c r="C177" s="30">
        <f t="shared" si="10"/>
        <v>300000000</v>
      </c>
      <c r="D177" s="32">
        <f t="shared" si="11"/>
        <v>2.1582733812949728E-2</v>
      </c>
      <c r="H177" s="44"/>
      <c r="N177" s="44"/>
    </row>
    <row r="178" spans="1:14" x14ac:dyDescent="0.3">
      <c r="A178" s="29" t="s">
        <v>979</v>
      </c>
      <c r="B178" s="44">
        <v>14200000000</v>
      </c>
      <c r="C178" s="30">
        <f t="shared" si="10"/>
        <v>0</v>
      </c>
      <c r="D178" s="32">
        <f t="shared" si="11"/>
        <v>0</v>
      </c>
      <c r="H178" s="44"/>
      <c r="N178" s="44"/>
    </row>
    <row r="179" spans="1:14" x14ac:dyDescent="0.3">
      <c r="A179" s="29" t="s">
        <v>980</v>
      </c>
      <c r="B179" s="44">
        <v>14400000000</v>
      </c>
      <c r="C179" s="30">
        <f t="shared" si="10"/>
        <v>200000000</v>
      </c>
      <c r="D179" s="32">
        <f t="shared" si="11"/>
        <v>1.4084507042253502E-2</v>
      </c>
      <c r="E179" s="37"/>
      <c r="H179" s="44"/>
      <c r="N179" s="44"/>
    </row>
    <row r="180" spans="1:14" x14ac:dyDescent="0.3">
      <c r="A180" s="29" t="s">
        <v>981</v>
      </c>
      <c r="B180" s="44">
        <v>14200000000</v>
      </c>
      <c r="C180" s="30">
        <f t="shared" si="10"/>
        <v>-200000000</v>
      </c>
      <c r="D180" s="32">
        <f t="shared" si="11"/>
        <v>-1.388888888888884E-2</v>
      </c>
      <c r="H180" s="44"/>
      <c r="N180" s="44"/>
    </row>
    <row r="181" spans="1:14" x14ac:dyDescent="0.3">
      <c r="A181" s="29" t="s">
        <v>928</v>
      </c>
      <c r="B181" s="44">
        <v>14300000000</v>
      </c>
      <c r="C181" s="30">
        <f t="shared" si="10"/>
        <v>100000000</v>
      </c>
      <c r="D181" s="32">
        <f t="shared" si="11"/>
        <v>7.0422535211267512E-3</v>
      </c>
      <c r="H181" s="44"/>
      <c r="N181" s="44"/>
    </row>
    <row r="182" spans="1:14" x14ac:dyDescent="0.3">
      <c r="A182" s="29" t="s">
        <v>982</v>
      </c>
      <c r="B182" s="44">
        <v>14400000000</v>
      </c>
      <c r="C182" s="30">
        <f t="shared" si="10"/>
        <v>100000000</v>
      </c>
      <c r="D182" s="32">
        <f t="shared" si="11"/>
        <v>6.9930069930070893E-3</v>
      </c>
      <c r="H182" s="44"/>
      <c r="N182" s="44"/>
    </row>
    <row r="183" spans="1:14" x14ac:dyDescent="0.3">
      <c r="A183" s="29" t="s">
        <v>983</v>
      </c>
      <c r="B183" s="44">
        <v>14400000000</v>
      </c>
      <c r="C183" s="30">
        <f t="shared" si="10"/>
        <v>0</v>
      </c>
      <c r="D183" s="32">
        <f t="shared" si="11"/>
        <v>0</v>
      </c>
      <c r="E183" s="37"/>
      <c r="H183" s="44"/>
      <c r="N183" s="44"/>
    </row>
    <row r="184" spans="1:14" x14ac:dyDescent="0.3">
      <c r="A184" s="29" t="s">
        <v>984</v>
      </c>
      <c r="B184" s="44">
        <v>15000000000</v>
      </c>
      <c r="C184" s="30">
        <f t="shared" si="10"/>
        <v>600000000</v>
      </c>
      <c r="D184" s="32">
        <f t="shared" si="11"/>
        <v>4.1666666666666741E-2</v>
      </c>
      <c r="E184" s="37"/>
      <c r="H184" s="44"/>
      <c r="N184" s="44"/>
    </row>
    <row r="185" spans="1:14" x14ac:dyDescent="0.3">
      <c r="A185" s="29" t="s">
        <v>985</v>
      </c>
      <c r="B185" s="44">
        <v>14700000000</v>
      </c>
      <c r="C185" s="30">
        <f t="shared" si="10"/>
        <v>-300000000</v>
      </c>
      <c r="D185" s="32">
        <f t="shared" si="11"/>
        <v>-2.0000000000000018E-2</v>
      </c>
      <c r="E185" s="37"/>
      <c r="H185" s="44"/>
      <c r="N185" s="44"/>
    </row>
    <row r="186" spans="1:14" x14ac:dyDescent="0.3">
      <c r="A186" s="29" t="s">
        <v>929</v>
      </c>
      <c r="B186" s="44">
        <v>15200000000</v>
      </c>
      <c r="C186" s="30">
        <f t="shared" si="10"/>
        <v>500000000</v>
      </c>
      <c r="D186" s="32">
        <f t="shared" si="11"/>
        <v>3.4013605442176909E-2</v>
      </c>
      <c r="H186" s="44"/>
      <c r="N186" s="44"/>
    </row>
    <row r="187" spans="1:14" x14ac:dyDescent="0.3">
      <c r="A187" s="29" t="s">
        <v>986</v>
      </c>
      <c r="B187" s="44">
        <v>15000000000</v>
      </c>
      <c r="C187" s="30">
        <f t="shared" si="10"/>
        <v>-200000000</v>
      </c>
      <c r="D187" s="32">
        <f t="shared" si="11"/>
        <v>-1.3157894736842146E-2</v>
      </c>
      <c r="H187" s="44"/>
      <c r="N187" s="44"/>
    </row>
    <row r="188" spans="1:14" x14ac:dyDescent="0.3">
      <c r="A188" s="29" t="s">
        <v>987</v>
      </c>
      <c r="B188" s="44">
        <v>15100000000</v>
      </c>
      <c r="C188" s="30">
        <f t="shared" si="10"/>
        <v>100000000</v>
      </c>
      <c r="D188" s="32">
        <f t="shared" si="11"/>
        <v>6.6666666666665986E-3</v>
      </c>
      <c r="H188" s="44"/>
      <c r="N188" s="44"/>
    </row>
    <row r="189" spans="1:14" x14ac:dyDescent="0.3">
      <c r="A189" s="29" t="s">
        <v>988</v>
      </c>
      <c r="B189" s="44">
        <v>15200000000</v>
      </c>
      <c r="C189" s="30">
        <f t="shared" si="10"/>
        <v>100000000</v>
      </c>
      <c r="D189" s="32">
        <f t="shared" si="11"/>
        <v>6.6225165562914245E-3</v>
      </c>
      <c r="H189" s="44"/>
      <c r="N189" s="44"/>
    </row>
    <row r="190" spans="1:14" x14ac:dyDescent="0.3">
      <c r="A190" s="29" t="s">
        <v>989</v>
      </c>
      <c r="B190" s="44">
        <v>15300000000</v>
      </c>
      <c r="C190" s="30">
        <f t="shared" si="10"/>
        <v>100000000</v>
      </c>
      <c r="D190" s="32">
        <f t="shared" si="11"/>
        <v>6.5789473684210176E-3</v>
      </c>
      <c r="H190" s="44"/>
      <c r="N190" s="44"/>
    </row>
    <row r="191" spans="1:14" x14ac:dyDescent="0.3">
      <c r="A191" s="29" t="s">
        <v>930</v>
      </c>
      <c r="B191" s="44">
        <v>15400000000</v>
      </c>
      <c r="C191" s="30">
        <f t="shared" si="10"/>
        <v>100000000</v>
      </c>
      <c r="D191" s="32">
        <f t="shared" si="11"/>
        <v>6.5359477124182774E-3</v>
      </c>
      <c r="H191" s="44"/>
      <c r="N191" s="44"/>
    </row>
    <row r="192" spans="1:14" x14ac:dyDescent="0.3">
      <c r="A192" s="29" t="s">
        <v>30</v>
      </c>
      <c r="B192" s="30">
        <v>16493187084.4988</v>
      </c>
      <c r="C192" s="30">
        <f t="shared" si="10"/>
        <v>1093187084.4988003</v>
      </c>
      <c r="D192" s="32">
        <f t="shared" si="11"/>
        <v>7.0986174318103945E-2</v>
      </c>
      <c r="H192" s="44"/>
      <c r="N192" s="44"/>
    </row>
    <row r="193" spans="1:14" x14ac:dyDescent="0.3">
      <c r="A193" s="29" t="s">
        <v>30</v>
      </c>
      <c r="B193" s="30">
        <v>16734112265.174223</v>
      </c>
      <c r="C193" s="30">
        <f t="shared" ref="C193:C194" si="12">B193-B192</f>
        <v>240925180.67542267</v>
      </c>
      <c r="D193" s="32">
        <f>(B193/B192)-1</f>
        <v>1.4607557620070821E-2</v>
      </c>
      <c r="H193" s="44"/>
      <c r="N193" s="44"/>
    </row>
    <row r="194" spans="1:14" x14ac:dyDescent="0.3">
      <c r="A194" s="29" t="s">
        <v>31</v>
      </c>
      <c r="B194" s="30">
        <v>16849085228.023041</v>
      </c>
      <c r="C194" s="30">
        <f t="shared" si="12"/>
        <v>114972962.84881783</v>
      </c>
      <c r="D194" s="32">
        <f>(B194/B193)-1</f>
        <v>6.870574370896998E-3</v>
      </c>
      <c r="H194" s="44"/>
      <c r="N194" s="44"/>
    </row>
    <row r="195" spans="1:14" x14ac:dyDescent="0.3">
      <c r="A195" s="29" t="s">
        <v>32</v>
      </c>
      <c r="B195" s="30">
        <v>16912586176.268578</v>
      </c>
      <c r="C195" s="30">
        <f>B195-B194</f>
        <v>63500948.245536804</v>
      </c>
      <c r="D195" s="32">
        <f>(B195/B194)-1</f>
        <v>3.7688068750416637E-3</v>
      </c>
      <c r="H195" s="44"/>
      <c r="N195" s="44"/>
    </row>
    <row r="196" spans="1:14" x14ac:dyDescent="0.3">
      <c r="A196" s="29" t="s">
        <v>33</v>
      </c>
      <c r="B196" s="30">
        <v>17458803186.232414</v>
      </c>
      <c r="C196" s="30">
        <f>B196-B195</f>
        <v>546217009.96383667</v>
      </c>
      <c r="D196" s="32">
        <f>(B196/B195)-1</f>
        <v>3.2296480518767545E-2</v>
      </c>
      <c r="E196" s="37"/>
      <c r="H196" s="44"/>
      <c r="N196" s="44"/>
    </row>
    <row r="197" spans="1:14" x14ac:dyDescent="0.3">
      <c r="A197" s="29" t="s">
        <v>35</v>
      </c>
      <c r="B197" s="30">
        <v>17595717631.72868</v>
      </c>
      <c r="C197" s="30">
        <f t="shared" ref="C197" si="13">B197-B196</f>
        <v>136914445.49626541</v>
      </c>
      <c r="D197" s="32">
        <f>(B197/B196)-1</f>
        <v>7.8421438191269566E-3</v>
      </c>
      <c r="E197" s="37"/>
      <c r="H197" s="44"/>
      <c r="N197" s="44"/>
    </row>
    <row r="198" spans="1:14" x14ac:dyDescent="0.3">
      <c r="A198" s="29" t="s">
        <v>36</v>
      </c>
      <c r="B198" s="30">
        <v>18069815012.670444</v>
      </c>
      <c r="C198" s="30">
        <f t="shared" ref="C198" si="14">B198-B197</f>
        <v>474097380.94176483</v>
      </c>
      <c r="D198" s="32">
        <f t="shared" ref="D198" si="15">(B198/B197)-1</f>
        <v>2.6943907083782248E-2</v>
      </c>
      <c r="E198" s="37"/>
      <c r="H198" s="44"/>
      <c r="N198" s="44"/>
    </row>
    <row r="199" spans="1:14" x14ac:dyDescent="0.3">
      <c r="A199" s="29" t="s">
        <v>37</v>
      </c>
      <c r="B199" s="30">
        <v>18374313111.646461</v>
      </c>
      <c r="C199" s="30">
        <f t="shared" ref="C199" si="16">B199-B198</f>
        <v>304498098.976017</v>
      </c>
      <c r="D199" s="32">
        <f t="shared" ref="D199" si="17">(B199/B198)-1</f>
        <v>1.6851201783886882E-2</v>
      </c>
      <c r="H199" s="44"/>
      <c r="N199" s="44"/>
    </row>
    <row r="200" spans="1:14" x14ac:dyDescent="0.3">
      <c r="A200" s="29" t="s">
        <v>38</v>
      </c>
      <c r="B200" s="30">
        <v>18277257904.138023</v>
      </c>
      <c r="C200" s="30">
        <f t="shared" ref="C200" si="18">B200-B199</f>
        <v>-97055207.50843811</v>
      </c>
      <c r="D200" s="32">
        <f t="shared" ref="D200" si="19">(B200/B199)-1</f>
        <v>-5.2821135091531968E-3</v>
      </c>
      <c r="H200" s="44"/>
      <c r="N200" s="44"/>
    </row>
    <row r="201" spans="1:14" x14ac:dyDescent="0.3">
      <c r="A201" s="29" t="s">
        <v>39</v>
      </c>
      <c r="B201" s="30">
        <v>18596860265.755482</v>
      </c>
      <c r="C201" s="30">
        <f t="shared" ref="C201" si="20">B201-B200</f>
        <v>319602361.61745834</v>
      </c>
      <c r="D201" s="32">
        <f t="shared" ref="D201" si="21">(B201/B200)-1</f>
        <v>1.7486340855599636E-2</v>
      </c>
      <c r="H201" s="44"/>
      <c r="N201" s="44"/>
    </row>
    <row r="202" spans="1:14" x14ac:dyDescent="0.3">
      <c r="A202" s="29" t="s">
        <v>40</v>
      </c>
      <c r="B202" s="30">
        <v>19333141081.438202</v>
      </c>
      <c r="C202" s="30">
        <f t="shared" ref="C202:C207" si="22">B202-B201</f>
        <v>736280815.68272018</v>
      </c>
      <c r="D202" s="32">
        <f t="shared" ref="D202:D207" si="23">(B202/B201)-1</f>
        <v>3.9591673280382711E-2</v>
      </c>
      <c r="E202" s="37"/>
      <c r="H202" s="44"/>
      <c r="N202" s="44"/>
    </row>
    <row r="203" spans="1:14" x14ac:dyDescent="0.3">
      <c r="A203" s="29" t="s">
        <v>41</v>
      </c>
      <c r="B203" s="30">
        <v>19924310057.113235</v>
      </c>
      <c r="C203" s="30">
        <f t="shared" si="22"/>
        <v>591168975.67503357</v>
      </c>
      <c r="D203" s="32">
        <f t="shared" si="23"/>
        <v>3.0578009708035259E-2</v>
      </c>
      <c r="H203" s="44"/>
      <c r="N203" s="44"/>
    </row>
    <row r="204" spans="1:14" x14ac:dyDescent="0.3">
      <c r="A204" s="29" t="s">
        <v>42</v>
      </c>
      <c r="B204" s="30">
        <v>19783634499.78986</v>
      </c>
      <c r="C204" s="30">
        <f t="shared" si="22"/>
        <v>-140675557.3233757</v>
      </c>
      <c r="D204" s="32">
        <f t="shared" si="23"/>
        <v>-7.060498301829643E-3</v>
      </c>
      <c r="H204" s="44"/>
      <c r="N204" s="44"/>
    </row>
    <row r="205" spans="1:14" x14ac:dyDescent="0.3">
      <c r="A205" s="29" t="s">
        <v>43</v>
      </c>
      <c r="B205" s="30">
        <v>20668128379.821754</v>
      </c>
      <c r="C205" s="30">
        <f t="shared" si="22"/>
        <v>884493880.03189468</v>
      </c>
      <c r="D205" s="32">
        <f t="shared" si="23"/>
        <v>4.470836134994749E-2</v>
      </c>
      <c r="H205" s="44"/>
      <c r="N205" s="44"/>
    </row>
    <row r="206" spans="1:14" x14ac:dyDescent="0.3">
      <c r="A206" s="29" t="s">
        <v>44</v>
      </c>
      <c r="B206" s="30">
        <v>21182524269.815338</v>
      </c>
      <c r="C206" s="30">
        <f t="shared" si="22"/>
        <v>514395889.99358368</v>
      </c>
      <c r="D206" s="32">
        <f t="shared" si="23"/>
        <v>2.4888363403809066E-2</v>
      </c>
      <c r="H206" s="44"/>
      <c r="N206" s="44"/>
    </row>
    <row r="207" spans="1:14" x14ac:dyDescent="0.3">
      <c r="A207" s="29" t="s">
        <v>45</v>
      </c>
      <c r="B207" s="30">
        <v>21288535072.408989</v>
      </c>
      <c r="C207" s="30">
        <f t="shared" si="22"/>
        <v>106010802.59365082</v>
      </c>
      <c r="D207" s="32">
        <f t="shared" si="23"/>
        <v>5.0046350115464655E-3</v>
      </c>
      <c r="H207" s="44"/>
      <c r="N207" s="44"/>
    </row>
    <row r="208" spans="1:14" x14ac:dyDescent="0.3">
      <c r="A208" s="29" t="s">
        <v>46</v>
      </c>
      <c r="B208" s="30">
        <v>21512337950.407295</v>
      </c>
      <c r="C208" s="30">
        <f t="shared" ref="C208" si="24">B208-B207</f>
        <v>223802877.99830627</v>
      </c>
      <c r="D208" s="32">
        <f t="shared" ref="D208" si="25">(B208/B207)-1</f>
        <v>1.0512836004783033E-2</v>
      </c>
      <c r="H208" s="44"/>
      <c r="N208" s="44"/>
    </row>
    <row r="209" spans="1:14" x14ac:dyDescent="0.3">
      <c r="A209" s="29" t="s">
        <v>47</v>
      </c>
      <c r="B209" s="30">
        <v>21113904710.912914</v>
      </c>
      <c r="C209" s="30">
        <f t="shared" ref="C209" si="26">B209-B208</f>
        <v>-398433239.49438095</v>
      </c>
      <c r="D209" s="32">
        <f t="shared" ref="D209" si="27">(B209/B208)-1</f>
        <v>-1.8521150068062986E-2</v>
      </c>
      <c r="H209" s="44"/>
      <c r="N209" s="44"/>
    </row>
    <row r="210" spans="1:14" x14ac:dyDescent="0.3">
      <c r="A210" s="29" t="s">
        <v>48</v>
      </c>
      <c r="B210" s="30">
        <v>21423898066.902161</v>
      </c>
      <c r="C210" s="30">
        <f t="shared" ref="C210" si="28">B210-B209</f>
        <v>309993355.98924637</v>
      </c>
      <c r="D210" s="32">
        <f t="shared" ref="D210" si="29">(B210/B209)-1</f>
        <v>1.4681952970500234E-2</v>
      </c>
      <c r="H210" s="44"/>
      <c r="N210" s="44"/>
    </row>
    <row r="211" spans="1:14" x14ac:dyDescent="0.3">
      <c r="A211" s="29" t="s">
        <v>49</v>
      </c>
      <c r="B211" s="30">
        <v>21151271668.343338</v>
      </c>
      <c r="C211" s="30">
        <f t="shared" ref="C211" si="30">B211-B210</f>
        <v>-272626398.55882263</v>
      </c>
      <c r="D211" s="32">
        <f t="shared" ref="D211" si="31">(B211/B210)-1</f>
        <v>-1.2725340538284335E-2</v>
      </c>
      <c r="H211" s="44"/>
      <c r="N211" s="44"/>
    </row>
    <row r="212" spans="1:14" x14ac:dyDescent="0.3">
      <c r="A212" s="29" t="s">
        <v>50</v>
      </c>
      <c r="B212" s="30">
        <v>21327060502.307777</v>
      </c>
      <c r="C212" s="30">
        <f t="shared" ref="C212:C217" si="32">B212-B211</f>
        <v>175788833.96443939</v>
      </c>
      <c r="D212" s="32">
        <f t="shared" ref="D212:D217" si="33">(B212/B211)-1</f>
        <v>8.3110290823571464E-3</v>
      </c>
      <c r="H212" s="44"/>
      <c r="N212" s="44"/>
    </row>
    <row r="213" spans="1:14" x14ac:dyDescent="0.3">
      <c r="A213" s="29" t="s">
        <v>51</v>
      </c>
      <c r="B213" s="30">
        <v>21573847253.614006</v>
      </c>
      <c r="C213" s="30">
        <f>B213-B212</f>
        <v>246786751.30622864</v>
      </c>
      <c r="D213" s="32">
        <f t="shared" si="33"/>
        <v>1.1571531448486549E-2</v>
      </c>
      <c r="E213" s="37"/>
      <c r="H213" s="44"/>
      <c r="N213" s="44"/>
    </row>
    <row r="214" spans="1:14" x14ac:dyDescent="0.3">
      <c r="A214" s="29" t="s">
        <v>52</v>
      </c>
      <c r="B214" s="30">
        <v>20665656631.082245</v>
      </c>
      <c r="C214" s="30">
        <f t="shared" si="32"/>
        <v>-908190622.53176117</v>
      </c>
      <c r="D214" s="32">
        <f t="shared" si="33"/>
        <v>-4.209683195840852E-2</v>
      </c>
      <c r="H214" s="44"/>
      <c r="N214" s="44"/>
    </row>
    <row r="215" spans="1:14" x14ac:dyDescent="0.3">
      <c r="A215" s="29" t="s">
        <v>53</v>
      </c>
      <c r="B215" s="30">
        <v>20223512527.886803</v>
      </c>
      <c r="C215" s="30">
        <f t="shared" si="32"/>
        <v>-442144103.1954422</v>
      </c>
      <c r="D215" s="32">
        <f t="shared" si="33"/>
        <v>-2.1395115146277677E-2</v>
      </c>
      <c r="H215" s="44"/>
      <c r="N215" s="44"/>
    </row>
    <row r="216" spans="1:14" x14ac:dyDescent="0.3">
      <c r="A216" s="29" t="s">
        <v>54</v>
      </c>
      <c r="B216" s="30">
        <v>20840393174.799599</v>
      </c>
      <c r="C216" s="30">
        <f t="shared" si="32"/>
        <v>616880646.91279602</v>
      </c>
      <c r="D216" s="32">
        <f t="shared" si="33"/>
        <v>3.0503140641971127E-2</v>
      </c>
      <c r="H216" s="44"/>
      <c r="N216" s="44"/>
    </row>
    <row r="217" spans="1:14" x14ac:dyDescent="0.3">
      <c r="A217" s="29" t="s">
        <v>55</v>
      </c>
      <c r="B217" s="30">
        <v>20646022271.743492</v>
      </c>
      <c r="C217" s="30">
        <f t="shared" si="32"/>
        <v>-194370903.05610657</v>
      </c>
      <c r="D217" s="32">
        <f t="shared" si="33"/>
        <v>-9.326642804951546E-3</v>
      </c>
      <c r="H217" s="44"/>
      <c r="N217" s="44"/>
    </row>
    <row r="218" spans="1:14" x14ac:dyDescent="0.3">
      <c r="A218" s="29" t="s">
        <v>56</v>
      </c>
      <c r="B218" s="30">
        <v>19840473500.214264</v>
      </c>
      <c r="C218" s="30">
        <f t="shared" ref="C218" si="34">B218-B217</f>
        <v>-805548771.52922821</v>
      </c>
      <c r="D218" s="32">
        <f t="shared" ref="D218" si="35">(B218/B217)-1</f>
        <v>-3.9017141458367766E-2</v>
      </c>
      <c r="H218" s="44"/>
      <c r="N218" s="44"/>
    </row>
    <row r="219" spans="1:14" x14ac:dyDescent="0.3">
      <c r="A219" s="29" t="s">
        <v>57</v>
      </c>
      <c r="B219" s="30">
        <v>19457749555.883495</v>
      </c>
      <c r="C219" s="30">
        <f t="shared" ref="C219" si="36">B219-B218</f>
        <v>-382723944.33076859</v>
      </c>
      <c r="D219" s="32">
        <f t="shared" ref="D219" si="37">(B219/B218)-1</f>
        <v>-1.9290061012235182E-2</v>
      </c>
      <c r="H219" s="44"/>
      <c r="N219" s="44"/>
    </row>
    <row r="220" spans="1:14" x14ac:dyDescent="0.3">
      <c r="A220" s="29" t="s">
        <v>58</v>
      </c>
      <c r="B220" s="30">
        <v>19785180511.338718</v>
      </c>
      <c r="C220" s="30">
        <f t="shared" ref="C220" si="38">B220-B219</f>
        <v>327430955.45522308</v>
      </c>
      <c r="D220" s="32">
        <f t="shared" ref="D220" si="39">(B220/B219)-1</f>
        <v>1.6827791647478385E-2</v>
      </c>
      <c r="E220" s="37"/>
      <c r="H220" s="44"/>
      <c r="N220" s="44"/>
    </row>
    <row r="221" spans="1:14" x14ac:dyDescent="0.3">
      <c r="A221" s="29" t="s">
        <v>59</v>
      </c>
      <c r="B221" s="30">
        <v>19211853378.458569</v>
      </c>
      <c r="C221" s="30">
        <f t="shared" ref="C221" si="40">B221-B220</f>
        <v>-573327132.88014984</v>
      </c>
      <c r="D221" s="32">
        <f t="shared" ref="D221" si="41">(B221/B220)-1</f>
        <v>-2.8977604351478115E-2</v>
      </c>
      <c r="H221" s="44"/>
      <c r="N221" s="44"/>
    </row>
    <row r="222" spans="1:14" x14ac:dyDescent="0.3">
      <c r="A222" s="29" t="s">
        <v>60</v>
      </c>
      <c r="B222" s="30">
        <v>19596105741.522961</v>
      </c>
      <c r="C222" s="30">
        <f t="shared" ref="C222" si="42">B222-B221</f>
        <v>384252363.06439209</v>
      </c>
      <c r="D222" s="32">
        <f t="shared" ref="D222" si="43">(B222/B221)-1</f>
        <v>2.0000796148862854E-2</v>
      </c>
      <c r="E222" s="37"/>
      <c r="H222" s="44"/>
      <c r="N222" s="44"/>
    </row>
    <row r="223" spans="1:14" x14ac:dyDescent="0.3">
      <c r="A223" s="29" t="s">
        <v>61</v>
      </c>
      <c r="B223" s="30">
        <v>20521580148.6567</v>
      </c>
      <c r="C223" s="30">
        <f t="shared" ref="C223" si="44">B223-B222</f>
        <v>925474407.13373947</v>
      </c>
      <c r="D223" s="32">
        <f t="shared" ref="D223" si="45">(B223/B222)-1</f>
        <v>4.7227465463850482E-2</v>
      </c>
      <c r="E223" s="37"/>
      <c r="H223" s="44"/>
      <c r="N223" s="44"/>
    </row>
    <row r="224" spans="1:14" x14ac:dyDescent="0.3">
      <c r="A224" s="29" t="s">
        <v>62</v>
      </c>
      <c r="B224" s="30">
        <v>20636814705.475388</v>
      </c>
      <c r="C224" s="30">
        <f t="shared" ref="C224" si="46">B224-B223</f>
        <v>115234556.81868744</v>
      </c>
      <c r="D224" s="32">
        <f t="shared" ref="D224" si="47">(B224/B223)-1</f>
        <v>5.6152867363983283E-3</v>
      </c>
      <c r="E224" s="37"/>
      <c r="H224" s="44"/>
      <c r="N224" s="44"/>
    </row>
    <row r="225" spans="1:14" x14ac:dyDescent="0.3">
      <c r="A225" s="29" t="s">
        <v>63</v>
      </c>
      <c r="B225" s="30">
        <v>20990644889.209953</v>
      </c>
      <c r="C225" s="30">
        <f t="shared" ref="C225" si="48">B225-B224</f>
        <v>353830183.73456573</v>
      </c>
      <c r="D225" s="32">
        <f t="shared" ref="D225" si="49">(B225/B224)-1</f>
        <v>1.7145581272321353E-2</v>
      </c>
      <c r="H225" s="44"/>
      <c r="N225" s="44"/>
    </row>
    <row r="226" spans="1:14" x14ac:dyDescent="0.3">
      <c r="A226" s="29" t="s">
        <v>64</v>
      </c>
      <c r="B226" s="30">
        <v>21029919627.703926</v>
      </c>
      <c r="C226" s="30">
        <f t="shared" ref="C226" si="50">B226-B225</f>
        <v>39274738.493972778</v>
      </c>
      <c r="D226" s="32">
        <f t="shared" ref="D226" si="51">(B226/B225)-1</f>
        <v>1.8710591647501662E-3</v>
      </c>
      <c r="H226" s="44"/>
      <c r="N226" s="44"/>
    </row>
    <row r="227" spans="1:14" x14ac:dyDescent="0.3">
      <c r="A227" s="29" t="s">
        <v>65</v>
      </c>
      <c r="B227" s="30">
        <v>21889897693.012695</v>
      </c>
      <c r="C227" s="30">
        <f t="shared" ref="C227" si="52">B227-B226</f>
        <v>859978065.30876923</v>
      </c>
      <c r="D227" s="32">
        <f t="shared" ref="D227" si="53">(B227/B226)-1</f>
        <v>4.0893074273848917E-2</v>
      </c>
      <c r="H227" s="44"/>
      <c r="N227" s="44"/>
    </row>
    <row r="228" spans="1:14" x14ac:dyDescent="0.3">
      <c r="A228" s="29" t="s">
        <v>66</v>
      </c>
      <c r="B228" s="30">
        <v>21746221243.583607</v>
      </c>
      <c r="C228" s="30">
        <f t="shared" ref="C228" si="54">B228-B227</f>
        <v>-143676449.42908859</v>
      </c>
      <c r="D228" s="32">
        <f t="shared" ref="D228" si="55">(B228/B227)-1</f>
        <v>-6.563596205155009E-3</v>
      </c>
      <c r="H228" s="44"/>
      <c r="N228" s="44"/>
    </row>
    <row r="229" spans="1:14" x14ac:dyDescent="0.3">
      <c r="A229" s="29" t="s">
        <v>67</v>
      </c>
      <c r="B229" s="30">
        <v>22194990617.924923</v>
      </c>
      <c r="C229" s="30">
        <f t="shared" ref="C229" si="56">B229-B228</f>
        <v>448769374.34131622</v>
      </c>
      <c r="D229" s="32">
        <f t="shared" ref="D229" si="57">(B229/B228)-1</f>
        <v>2.0636660011620567E-2</v>
      </c>
      <c r="H229" s="44"/>
      <c r="N229" s="44"/>
    </row>
    <row r="230" spans="1:14" x14ac:dyDescent="0.3">
      <c r="A230" s="29" t="s">
        <v>68</v>
      </c>
      <c r="B230" s="30">
        <v>22761971215.276913</v>
      </c>
      <c r="C230" s="30">
        <f t="shared" ref="C230" si="58">B230-B229</f>
        <v>566980597.35198975</v>
      </c>
      <c r="D230" s="32">
        <f t="shared" ref="D230" si="59">(B230/B229)-1</f>
        <v>2.5545430818704196E-2</v>
      </c>
      <c r="H230" s="44"/>
      <c r="N230" s="44"/>
    </row>
    <row r="231" spans="1:14" x14ac:dyDescent="0.3">
      <c r="A231" s="29" t="s">
        <v>69</v>
      </c>
      <c r="B231" s="30">
        <v>22043314365.876102</v>
      </c>
      <c r="C231" s="30">
        <f t="shared" ref="C231" si="60">B231-B230</f>
        <v>-718656849.40081024</v>
      </c>
      <c r="D231" s="32">
        <f t="shared" ref="D231" si="61">(B231/B230)-1</f>
        <v>-3.1572698278366951E-2</v>
      </c>
      <c r="H231" s="44"/>
      <c r="N231" s="44"/>
    </row>
    <row r="232" spans="1:14" x14ac:dyDescent="0.3">
      <c r="A232" s="29" t="s">
        <v>70</v>
      </c>
      <c r="B232" s="30">
        <v>21950061539.08905</v>
      </c>
      <c r="C232" s="30">
        <f t="shared" ref="C232" si="62">B232-B231</f>
        <v>-93252826.787052155</v>
      </c>
      <c r="D232" s="32">
        <f t="shared" ref="D232" si="63">(B232/B231)-1</f>
        <v>-4.2304358246331164E-3</v>
      </c>
      <c r="H232" s="44"/>
      <c r="N232" s="44"/>
    </row>
    <row r="233" spans="1:14" x14ac:dyDescent="0.3">
      <c r="A233" s="29" t="s">
        <v>71</v>
      </c>
      <c r="B233" s="30">
        <v>21811351475.535034</v>
      </c>
      <c r="C233" s="30">
        <f t="shared" ref="C233" si="64">B233-B232</f>
        <v>-138710063.55401611</v>
      </c>
      <c r="D233" s="32">
        <f t="shared" ref="D233" si="65">(B233/B232)-1</f>
        <v>-6.3193473652454202E-3</v>
      </c>
      <c r="E233" s="37"/>
      <c r="H233" s="44"/>
      <c r="N233" s="44"/>
    </row>
    <row r="234" spans="1:14" x14ac:dyDescent="0.3">
      <c r="A234" s="29" t="s">
        <v>72</v>
      </c>
      <c r="B234" s="30">
        <v>20919686413.94038</v>
      </c>
      <c r="C234" s="30">
        <f t="shared" ref="C234" si="66">B234-B233</f>
        <v>-891665061.59465408</v>
      </c>
      <c r="D234" s="32">
        <f t="shared" ref="D234" si="67">(B234/B233)-1</f>
        <v>-4.0880780019284968E-2</v>
      </c>
      <c r="H234" s="44"/>
      <c r="N234" s="44"/>
    </row>
    <row r="235" spans="1:14" x14ac:dyDescent="0.3">
      <c r="A235" s="29" t="s">
        <v>73</v>
      </c>
      <c r="B235" s="30">
        <v>20271719128.613811</v>
      </c>
      <c r="C235" s="30">
        <f t="shared" ref="C235" si="68">B235-B234</f>
        <v>-647967285.3265686</v>
      </c>
      <c r="D235" s="32">
        <f t="shared" ref="D235" si="69">(B235/B234)-1</f>
        <v>-3.0974043898419956E-2</v>
      </c>
      <c r="E235" s="37"/>
      <c r="H235" s="44"/>
      <c r="N235" s="44"/>
    </row>
    <row r="236" spans="1:14" x14ac:dyDescent="0.3">
      <c r="A236" s="29" t="s">
        <v>74</v>
      </c>
      <c r="B236" s="30">
        <v>20757036237.05706</v>
      </c>
      <c r="C236" s="30">
        <f t="shared" ref="C236" si="70">B236-B235</f>
        <v>485317108.44324875</v>
      </c>
      <c r="D236" s="32">
        <f t="shared" ref="D236" si="71">(B236/B235)-1</f>
        <v>2.3940599480693159E-2</v>
      </c>
      <c r="E236" s="37"/>
      <c r="H236" s="44"/>
      <c r="N236" s="44"/>
    </row>
    <row r="237" spans="1:14" x14ac:dyDescent="0.3">
      <c r="A237" s="29" t="s">
        <v>75</v>
      </c>
      <c r="B237" s="30">
        <v>20495734218.81345</v>
      </c>
      <c r="C237" s="30">
        <f t="shared" ref="C237" si="72">B237-B236</f>
        <v>-261302018.24361038</v>
      </c>
      <c r="D237" s="32">
        <f t="shared" ref="D237" si="73">(B237/B236)-1</f>
        <v>-1.2588599608315709E-2</v>
      </c>
      <c r="H237" s="44"/>
      <c r="N237" s="44"/>
    </row>
    <row r="238" spans="1:14" x14ac:dyDescent="0.3">
      <c r="A238" s="29" t="s">
        <v>76</v>
      </c>
      <c r="B238" s="30">
        <v>20421194739.829182</v>
      </c>
      <c r="C238" s="30">
        <f t="shared" ref="C238" si="74">B238-B237</f>
        <v>-74539478.984268188</v>
      </c>
      <c r="D238" s="32">
        <f t="shared" ref="D238" si="75">(B238/B237)-1</f>
        <v>-3.6368289219835814E-3</v>
      </c>
      <c r="E238" s="37"/>
      <c r="H238" s="44"/>
      <c r="N238" s="44"/>
    </row>
    <row r="239" spans="1:14" x14ac:dyDescent="0.3">
      <c r="A239" s="29" t="s">
        <v>77</v>
      </c>
      <c r="B239" s="30">
        <v>20663087095.247257</v>
      </c>
      <c r="C239" s="30">
        <f t="shared" ref="C239" si="76">B239-B238</f>
        <v>241892355.41807556</v>
      </c>
      <c r="D239" s="32">
        <f t="shared" ref="D239" si="77">(B239/B238)-1</f>
        <v>1.1845161779212354E-2</v>
      </c>
      <c r="H239" s="44"/>
      <c r="N239" s="44"/>
    </row>
    <row r="240" spans="1:14" x14ac:dyDescent="0.3">
      <c r="A240" s="29" t="s">
        <v>78</v>
      </c>
      <c r="B240" s="30">
        <v>20184024235.540142</v>
      </c>
      <c r="C240" s="30">
        <f t="shared" ref="C240" si="78">B240-B239</f>
        <v>-479062859.70711517</v>
      </c>
      <c r="D240" s="32">
        <f t="shared" ref="D240" si="79">(B240/B239)-1</f>
        <v>-2.3184476622435835E-2</v>
      </c>
      <c r="H240" s="44"/>
      <c r="N240" s="44"/>
    </row>
    <row r="241" spans="1:14" x14ac:dyDescent="0.3">
      <c r="A241" s="29" t="s">
        <v>79</v>
      </c>
      <c r="B241" s="30">
        <v>19614625879.986347</v>
      </c>
      <c r="C241" s="30">
        <f t="shared" ref="C241" si="80">B241-B240</f>
        <v>-569398355.55379486</v>
      </c>
      <c r="D241" s="32">
        <f t="shared" ref="D241" si="81">(B241/B240)-1</f>
        <v>-2.8210348387869844E-2</v>
      </c>
      <c r="H241" s="44"/>
      <c r="N241" s="44"/>
    </row>
    <row r="242" spans="1:14" x14ac:dyDescent="0.3">
      <c r="A242" s="29" t="s">
        <v>80</v>
      </c>
      <c r="B242" s="30">
        <v>19144516851.47781</v>
      </c>
      <c r="C242" s="30">
        <f t="shared" ref="C242" si="82">B242-B241</f>
        <v>-470109028.50853729</v>
      </c>
      <c r="D242" s="32">
        <f t="shared" ref="D242" si="83">(B242/B241)-1</f>
        <v>-2.3967269698893956E-2</v>
      </c>
      <c r="H242" s="44"/>
      <c r="N242" s="44"/>
    </row>
    <row r="243" spans="1:14" x14ac:dyDescent="0.3">
      <c r="A243" s="29" t="s">
        <v>81</v>
      </c>
      <c r="B243" s="30">
        <v>19218516630.006596</v>
      </c>
      <c r="C243" s="30">
        <f t="shared" ref="C243" si="84">B243-B242</f>
        <v>73999778.528785706</v>
      </c>
      <c r="D243" s="32">
        <f t="shared" ref="D243" si="85">(B243/B242)-1</f>
        <v>3.8653249441014115E-3</v>
      </c>
      <c r="H243" s="44"/>
      <c r="N243" s="44"/>
    </row>
    <row r="244" spans="1:14" x14ac:dyDescent="0.3">
      <c r="A244" s="29" t="s">
        <v>82</v>
      </c>
      <c r="B244" s="30">
        <v>19451489914.892841</v>
      </c>
      <c r="C244" s="30">
        <f t="shared" ref="C244" si="86">B244-B243</f>
        <v>232973284.88624573</v>
      </c>
      <c r="D244" s="32">
        <f t="shared" ref="D244" si="87">(B244/B243)-1</f>
        <v>1.2122334380505473E-2</v>
      </c>
      <c r="H244" s="44"/>
      <c r="N244" s="44"/>
    </row>
    <row r="245" spans="1:14" x14ac:dyDescent="0.3">
      <c r="A245" s="29" t="s">
        <v>83</v>
      </c>
      <c r="B245" s="30">
        <v>19004842600.042862</v>
      </c>
      <c r="C245" s="30">
        <f t="shared" ref="C245" si="88">B245-B244</f>
        <v>-446647314.8499794</v>
      </c>
      <c r="D245" s="32">
        <f t="shared" ref="D245" si="89">(B245/B244)-1</f>
        <v>-2.296211327791442E-2</v>
      </c>
      <c r="H245" s="44"/>
      <c r="N245" s="44"/>
    </row>
    <row r="246" spans="1:14" x14ac:dyDescent="0.3">
      <c r="A246" s="29" t="s">
        <v>84</v>
      </c>
      <c r="B246" s="30">
        <v>18251986227.370319</v>
      </c>
      <c r="C246" s="30">
        <f t="shared" ref="C246" si="90">B246-B245</f>
        <v>-752856372.67254257</v>
      </c>
      <c r="D246" s="32">
        <f t="shared" ref="D246" si="91">(B246/B245)-1</f>
        <v>-3.96139230677367E-2</v>
      </c>
      <c r="H246" s="44"/>
      <c r="N246" s="44"/>
    </row>
    <row r="247" spans="1:14" x14ac:dyDescent="0.3">
      <c r="A247" s="29" t="s">
        <v>85</v>
      </c>
      <c r="B247" s="30">
        <v>18940337632.37989</v>
      </c>
      <c r="C247" s="30">
        <f t="shared" ref="C247" si="92">B247-B246</f>
        <v>688351405.00957108</v>
      </c>
      <c r="D247" s="32">
        <f t="shared" ref="D247" si="93">(B247/B246)-1</f>
        <v>3.7713780650203033E-2</v>
      </c>
      <c r="E247" s="37"/>
      <c r="H247" s="44"/>
      <c r="N247" s="44"/>
    </row>
    <row r="248" spans="1:14" x14ac:dyDescent="0.3">
      <c r="A248" s="29" t="s">
        <v>86</v>
      </c>
      <c r="B248" s="30">
        <v>19143489404.630001</v>
      </c>
      <c r="C248" s="30">
        <f t="shared" ref="C248" si="94">B248-B247</f>
        <v>203151772.25011063</v>
      </c>
      <c r="D248" s="32">
        <f t="shared" ref="D248" si="95">(B248/B247)-1</f>
        <v>1.0725879136536998E-2</v>
      </c>
      <c r="E248" s="37"/>
      <c r="H248" s="44"/>
      <c r="N248" s="44"/>
    </row>
    <row r="249" spans="1:14" x14ac:dyDescent="0.3">
      <c r="A249" s="29" t="s">
        <v>87</v>
      </c>
      <c r="B249" s="30">
        <v>19460259372.818775</v>
      </c>
      <c r="C249" s="30">
        <f t="shared" ref="C249" si="96">B249-B248</f>
        <v>316769968.18877411</v>
      </c>
      <c r="D249" s="32">
        <f t="shared" ref="D249" si="97">(B249/B248)-1</f>
        <v>1.6547138376567849E-2</v>
      </c>
      <c r="H249" s="44"/>
      <c r="N249" s="44"/>
    </row>
    <row r="250" spans="1:14" x14ac:dyDescent="0.3">
      <c r="A250" s="29" t="s">
        <v>88</v>
      </c>
      <c r="B250" s="30">
        <v>20225226179.983768</v>
      </c>
      <c r="C250" s="30">
        <f t="shared" ref="C250" si="98">B250-B249</f>
        <v>764966807.16499329</v>
      </c>
      <c r="D250" s="32">
        <f t="shared" ref="D250" si="99">(B250/B249)-1</f>
        <v>3.9309178388108545E-2</v>
      </c>
      <c r="H250" s="44"/>
      <c r="N250" s="44"/>
    </row>
    <row r="251" spans="1:14" x14ac:dyDescent="0.3">
      <c r="A251" s="29" t="s">
        <v>89</v>
      </c>
      <c r="B251" s="30">
        <v>19815383246.501823</v>
      </c>
      <c r="C251" s="30">
        <f t="shared" ref="C251" si="100">B251-B250</f>
        <v>-409842933.48194504</v>
      </c>
      <c r="D251" s="32">
        <f t="shared" ref="D251" si="101">(B251/B250)-1</f>
        <v>-2.0263948093077633E-2</v>
      </c>
      <c r="H251" s="44"/>
      <c r="N251" s="44"/>
    </row>
    <row r="252" spans="1:14" x14ac:dyDescent="0.3">
      <c r="A252" s="29" t="s">
        <v>90</v>
      </c>
      <c r="B252" s="30">
        <v>19753418570.463863</v>
      </c>
      <c r="C252" s="30">
        <f t="shared" ref="C252" si="102">B252-B251</f>
        <v>-61964676.037960052</v>
      </c>
      <c r="D252" s="32">
        <f t="shared" ref="D252" si="103">(B252/B251)-1</f>
        <v>-3.1270995502395982E-3</v>
      </c>
      <c r="H252" s="44"/>
      <c r="N252" s="44"/>
    </row>
    <row r="253" spans="1:14" x14ac:dyDescent="0.3">
      <c r="A253" s="29" t="s">
        <v>91</v>
      </c>
      <c r="B253" s="30">
        <v>20252560599.37418</v>
      </c>
      <c r="C253" s="30">
        <f t="shared" ref="C253" si="104">B253-B252</f>
        <v>499142028.91031647</v>
      </c>
      <c r="D253" s="32">
        <f t="shared" ref="D253" si="105">(B253/B252)-1</f>
        <v>2.5268640318119706E-2</v>
      </c>
      <c r="H253" s="44"/>
      <c r="N253" s="44"/>
    </row>
    <row r="254" spans="1:14" x14ac:dyDescent="0.3">
      <c r="A254" s="29" t="s">
        <v>92</v>
      </c>
      <c r="B254" s="30">
        <v>20391374655.263115</v>
      </c>
      <c r="C254" s="30">
        <f t="shared" ref="C254" si="106">B254-B253</f>
        <v>138814055.88893509</v>
      </c>
      <c r="D254" s="32">
        <f t="shared" ref="D254" si="107">(B254/B253)-1</f>
        <v>6.8541484030035793E-3</v>
      </c>
      <c r="H254" s="44"/>
      <c r="N254" s="44"/>
    </row>
    <row r="255" spans="1:14" x14ac:dyDescent="0.3">
      <c r="A255" s="29" t="s">
        <v>93</v>
      </c>
      <c r="B255" s="30">
        <v>20000686602.415535</v>
      </c>
      <c r="C255" s="30">
        <f t="shared" ref="C255" si="108">B255-B254</f>
        <v>-390688052.84757996</v>
      </c>
      <c r="D255" s="32">
        <f t="shared" ref="D255" si="109">(B255/B254)-1</f>
        <v>-1.9159475977100993E-2</v>
      </c>
      <c r="H255" s="44"/>
      <c r="N255" s="44"/>
    </row>
    <row r="256" spans="1:14" x14ac:dyDescent="0.3">
      <c r="A256" s="29" t="s">
        <v>94</v>
      </c>
      <c r="B256" s="30">
        <v>20104370236.08054</v>
      </c>
      <c r="C256" s="30">
        <f t="shared" ref="C256" si="110">B256-B255</f>
        <v>103683633.66500473</v>
      </c>
      <c r="D256" s="32">
        <f t="shared" ref="D256" si="111">(B256/B255)-1</f>
        <v>5.1840037157766528E-3</v>
      </c>
      <c r="H256" s="44"/>
      <c r="N256" s="44"/>
    </row>
    <row r="257" spans="1:14" x14ac:dyDescent="0.3">
      <c r="A257" s="29" t="s">
        <v>95</v>
      </c>
      <c r="B257" s="30">
        <v>19520148659.19603</v>
      </c>
      <c r="C257" s="30">
        <f t="shared" ref="C257" si="112">B257-B256</f>
        <v>-584221576.88451004</v>
      </c>
      <c r="D257" s="32">
        <f t="shared" ref="D257" si="113">(B257/B256)-1</f>
        <v>-2.9059431856066298E-2</v>
      </c>
      <c r="H257" s="44"/>
      <c r="N257" s="44"/>
    </row>
    <row r="258" spans="1:14" x14ac:dyDescent="0.3">
      <c r="A258" s="29" t="s">
        <v>96</v>
      </c>
      <c r="B258" s="30">
        <v>19512244149.866783</v>
      </c>
      <c r="C258" s="30">
        <f t="shared" ref="C258" si="114">B258-B257</f>
        <v>-7904509.329246521</v>
      </c>
      <c r="D258" s="32">
        <f t="shared" ref="D258" si="115">(B258/B257)-1</f>
        <v>-4.0494104154897848E-4</v>
      </c>
      <c r="H258" s="44"/>
      <c r="N258" s="44"/>
    </row>
    <row r="259" spans="1:14" x14ac:dyDescent="0.3">
      <c r="A259" s="29" t="s">
        <v>97</v>
      </c>
      <c r="B259" s="30">
        <v>19537712130.46368</v>
      </c>
      <c r="C259" s="30">
        <f t="shared" ref="C259" si="116">B259-B258</f>
        <v>25467980.596897125</v>
      </c>
      <c r="D259" s="32">
        <f t="shared" ref="D259" si="117">(B259/B258)-1</f>
        <v>1.3052307259628915E-3</v>
      </c>
      <c r="H259" s="44"/>
      <c r="N259" s="44"/>
    </row>
    <row r="260" spans="1:14" x14ac:dyDescent="0.3">
      <c r="A260" s="29" t="s">
        <v>98</v>
      </c>
      <c r="B260" s="30">
        <v>18921480518.137161</v>
      </c>
      <c r="C260" s="30">
        <f t="shared" ref="C260:C265" si="118">B260-B259</f>
        <v>-616231612.32651901</v>
      </c>
      <c r="D260" s="32">
        <f t="shared" ref="D260:D265" si="119">(B260/B259)-1</f>
        <v>-3.1540622986540812E-2</v>
      </c>
      <c r="H260" s="44"/>
      <c r="N260" s="44"/>
    </row>
    <row r="261" spans="1:14" x14ac:dyDescent="0.3">
      <c r="A261" s="29" t="s">
        <v>99</v>
      </c>
      <c r="B261" s="30">
        <v>19034707520.218979</v>
      </c>
      <c r="C261" s="30">
        <f t="shared" si="118"/>
        <v>113227002.08181763</v>
      </c>
      <c r="D261" s="32">
        <f t="shared" si="119"/>
        <v>5.9840455916377877E-3</v>
      </c>
      <c r="H261" s="44"/>
      <c r="N261" s="44"/>
    </row>
    <row r="262" spans="1:14" x14ac:dyDescent="0.3">
      <c r="A262" s="29" t="s">
        <v>100</v>
      </c>
      <c r="B262" s="30">
        <v>20489485190.22583</v>
      </c>
      <c r="C262" s="30">
        <f t="shared" si="118"/>
        <v>1454777670.0068512</v>
      </c>
      <c r="D262" s="32">
        <f t="shared" si="119"/>
        <v>7.6427634543980272E-2</v>
      </c>
      <c r="H262" s="44"/>
      <c r="N262" s="44"/>
    </row>
    <row r="263" spans="1:14" x14ac:dyDescent="0.3">
      <c r="A263" s="29" t="s">
        <v>101</v>
      </c>
      <c r="B263" s="30">
        <v>20775926522.908604</v>
      </c>
      <c r="C263" s="30">
        <f t="shared" si="118"/>
        <v>286441332.68277359</v>
      </c>
      <c r="D263" s="32">
        <f t="shared" si="119"/>
        <v>1.3979918481280995E-2</v>
      </c>
      <c r="H263" s="44"/>
      <c r="N263" s="44"/>
    </row>
    <row r="264" spans="1:14" x14ac:dyDescent="0.3">
      <c r="A264" s="29" t="s">
        <v>102</v>
      </c>
      <c r="B264" s="30">
        <v>20837808503.815128</v>
      </c>
      <c r="C264" s="30">
        <f t="shared" si="118"/>
        <v>61881980.906524658</v>
      </c>
      <c r="D264" s="32">
        <f t="shared" si="119"/>
        <v>2.9785425375994379E-3</v>
      </c>
      <c r="H264" s="44"/>
      <c r="N264" s="44"/>
    </row>
    <row r="265" spans="1:14" x14ac:dyDescent="0.3">
      <c r="A265" s="29" t="s">
        <v>103</v>
      </c>
      <c r="B265" s="30">
        <v>20179503647.196198</v>
      </c>
      <c r="C265" s="30">
        <f t="shared" si="118"/>
        <v>-658304856.61893082</v>
      </c>
      <c r="D265" s="32">
        <f t="shared" si="119"/>
        <v>-3.1591846930467904E-2</v>
      </c>
      <c r="H265" s="44"/>
      <c r="N265" s="44"/>
    </row>
    <row r="266" spans="1:14" x14ac:dyDescent="0.3">
      <c r="A266" s="29" t="s">
        <v>104</v>
      </c>
      <c r="B266" s="30">
        <v>20150638232.819874</v>
      </c>
      <c r="C266" s="30">
        <f t="shared" ref="C266" si="120">B266-B265</f>
        <v>-28865414.3763237</v>
      </c>
      <c r="D266" s="32">
        <f t="shared" ref="D266" si="121">(B266/B265)-1</f>
        <v>-1.4304323278205855E-3</v>
      </c>
      <c r="H266" s="44"/>
      <c r="N266" s="44"/>
    </row>
    <row r="267" spans="1:14" x14ac:dyDescent="0.3">
      <c r="A267" s="29" t="s">
        <v>105</v>
      </c>
      <c r="B267" s="30">
        <v>19996685280.532043</v>
      </c>
      <c r="C267" s="30">
        <f t="shared" ref="C267" si="122">B267-B266</f>
        <v>-153952952.28783035</v>
      </c>
      <c r="D267" s="32">
        <f t="shared" ref="D267" si="123">(B267/B266)-1</f>
        <v>-7.6401030334157793E-3</v>
      </c>
      <c r="H267" s="44"/>
      <c r="N267" s="44"/>
    </row>
    <row r="268" spans="1:14" x14ac:dyDescent="0.3">
      <c r="A268" s="29" t="s">
        <v>106</v>
      </c>
      <c r="B268" s="30">
        <v>19868384800.658272</v>
      </c>
      <c r="C268" s="30">
        <f t="shared" ref="C268" si="124">B268-B267</f>
        <v>-128300479.87377167</v>
      </c>
      <c r="D268" s="32">
        <f t="shared" ref="D268" si="125">(B268/B267)-1</f>
        <v>-6.4160873701742949E-3</v>
      </c>
      <c r="H268" s="44"/>
      <c r="N268" s="44"/>
    </row>
    <row r="269" spans="1:14" x14ac:dyDescent="0.3">
      <c r="A269" s="29" t="s">
        <v>107</v>
      </c>
      <c r="B269" s="30">
        <v>19545438778.361221</v>
      </c>
      <c r="C269" s="30">
        <f t="shared" ref="C269" si="126">B269-B268</f>
        <v>-322946022.29705048</v>
      </c>
      <c r="D269" s="32">
        <f t="shared" ref="D269" si="127">(B269/B268)-1</f>
        <v>-1.6254266541402496E-2</v>
      </c>
      <c r="H269" s="44"/>
      <c r="N269" s="44"/>
    </row>
    <row r="270" spans="1:14" x14ac:dyDescent="0.3">
      <c r="A270" s="29" t="s">
        <v>108</v>
      </c>
      <c r="B270" s="30">
        <v>19710637996.478432</v>
      </c>
      <c r="C270" s="30">
        <f t="shared" ref="C270" si="128">B270-B269</f>
        <v>165199218.11721039</v>
      </c>
      <c r="D270" s="32">
        <f t="shared" ref="D270" si="129">(B270/B269)-1</f>
        <v>8.4520598381296885E-3</v>
      </c>
      <c r="H270" s="44"/>
      <c r="N270" s="44"/>
    </row>
    <row r="271" spans="1:14" x14ac:dyDescent="0.3">
      <c r="A271" s="29" t="s">
        <v>109</v>
      </c>
      <c r="B271" s="30">
        <v>20156966387.135414</v>
      </c>
      <c r="C271" s="30">
        <f t="shared" ref="C271" si="130">B271-B270</f>
        <v>446328390.65698242</v>
      </c>
      <c r="D271" s="32">
        <f t="shared" ref="D271" si="131">(B271/B270)-1</f>
        <v>2.2644035709890487E-2</v>
      </c>
      <c r="H271" s="44"/>
      <c r="N271" s="44"/>
    </row>
    <row r="272" spans="1:14" x14ac:dyDescent="0.3">
      <c r="A272" s="29" t="s">
        <v>110</v>
      </c>
      <c r="B272" s="30">
        <v>20053083803.089237</v>
      </c>
      <c r="C272" s="30">
        <f t="shared" ref="C272" si="132">B272-B271</f>
        <v>-103882584.04617691</v>
      </c>
      <c r="D272" s="32">
        <f t="shared" ref="D272" si="133">(B272/B271)-1</f>
        <v>-5.1536814643138307E-3</v>
      </c>
      <c r="H272" s="44"/>
      <c r="N272" s="44"/>
    </row>
    <row r="273" spans="1:14" x14ac:dyDescent="0.3">
      <c r="A273" s="29" t="s">
        <v>111</v>
      </c>
      <c r="B273" s="30">
        <v>20041435698.781303</v>
      </c>
      <c r="C273" s="30">
        <f t="shared" ref="C273" si="134">B273-B272</f>
        <v>-11648104.307933807</v>
      </c>
      <c r="D273" s="32">
        <f t="shared" ref="D273" si="135">(B273/B272)-1</f>
        <v>-5.8086349323183128E-4</v>
      </c>
      <c r="E273" s="37"/>
      <c r="H273" s="44"/>
      <c r="N273" s="44"/>
    </row>
    <row r="274" spans="1:14" x14ac:dyDescent="0.3">
      <c r="A274" s="29" t="s">
        <v>112</v>
      </c>
      <c r="B274" s="30">
        <v>20433899157.941505</v>
      </c>
      <c r="C274" s="30">
        <f t="shared" ref="C274" si="136">B274-B273</f>
        <v>392463459.16020203</v>
      </c>
      <c r="D274" s="32">
        <f t="shared" ref="D274" si="137">(B274/B273)-1</f>
        <v>1.9582602018081374E-2</v>
      </c>
      <c r="H274" s="44"/>
      <c r="N274" s="44"/>
    </row>
    <row r="275" spans="1:14" x14ac:dyDescent="0.3">
      <c r="A275" s="29" t="s">
        <v>113</v>
      </c>
      <c r="B275" s="30">
        <v>20313507803.625767</v>
      </c>
      <c r="C275" s="30">
        <f t="shared" ref="C275" si="138">B275-B274</f>
        <v>-120391354.31573868</v>
      </c>
      <c r="D275" s="32">
        <f t="shared" ref="D275" si="139">(B275/B274)-1</f>
        <v>-5.8917465230295951E-3</v>
      </c>
      <c r="H275" s="44"/>
      <c r="N275" s="44"/>
    </row>
    <row r="276" spans="1:14" x14ac:dyDescent="0.3">
      <c r="A276" s="29" t="s">
        <v>114</v>
      </c>
      <c r="B276" s="30">
        <v>19687868277.677143</v>
      </c>
      <c r="C276" s="30">
        <f t="shared" ref="C276" si="140">B276-B275</f>
        <v>-625639525.94862366</v>
      </c>
      <c r="D276" s="32">
        <f t="shared" ref="D276" si="141">(B276/B275)-1</f>
        <v>-3.0799187023570207E-2</v>
      </c>
      <c r="H276" s="44"/>
      <c r="N276" s="44"/>
    </row>
    <row r="277" spans="1:14" x14ac:dyDescent="0.3">
      <c r="A277" s="29" t="s">
        <v>115</v>
      </c>
      <c r="B277" s="30">
        <v>19232637308.090908</v>
      </c>
      <c r="C277" s="30">
        <f t="shared" ref="C277" si="142">B277-B276</f>
        <v>-455230969.58623505</v>
      </c>
      <c r="D277" s="32">
        <f t="shared" ref="D277" si="143">(B277/B276)-1</f>
        <v>-2.3122410367931723E-2</v>
      </c>
      <c r="H277" s="44"/>
      <c r="N277" s="44"/>
    </row>
    <row r="278" spans="1:14" x14ac:dyDescent="0.3">
      <c r="A278" s="29" t="s">
        <v>116</v>
      </c>
      <c r="B278" s="30">
        <v>19325812215.894508</v>
      </c>
      <c r="C278" s="30">
        <f t="shared" ref="C278" si="144">B278-B277</f>
        <v>93174907.803600311</v>
      </c>
      <c r="D278" s="32">
        <f t="shared" ref="D278" si="145">(B278/B277)-1</f>
        <v>4.8446245988533754E-3</v>
      </c>
      <c r="H278" s="44"/>
      <c r="N278" s="44"/>
    </row>
    <row r="279" spans="1:14" x14ac:dyDescent="0.3">
      <c r="A279" s="29" t="s">
        <v>117</v>
      </c>
      <c r="B279" s="30">
        <v>19329739739.185246</v>
      </c>
      <c r="C279" s="30">
        <f t="shared" ref="C279" si="146">B279-B278</f>
        <v>3927523.2907371521</v>
      </c>
      <c r="D279" s="32">
        <f t="shared" ref="D279" si="147">(B279/B278)-1</f>
        <v>2.0322681638740292E-4</v>
      </c>
      <c r="H279" s="44"/>
      <c r="N279" s="44"/>
    </row>
    <row r="280" spans="1:14" x14ac:dyDescent="0.3">
      <c r="A280" s="29" t="s">
        <v>118</v>
      </c>
      <c r="B280" s="30">
        <v>19528759470.046253</v>
      </c>
      <c r="C280" s="30">
        <f t="shared" ref="C280" si="148">B280-B279</f>
        <v>199019730.86100769</v>
      </c>
      <c r="D280" s="32">
        <f t="shared" ref="D280" si="149">(B280/B279)-1</f>
        <v>1.0296037791836188E-2</v>
      </c>
      <c r="H280" s="44"/>
      <c r="N280" s="44"/>
    </row>
    <row r="281" spans="1:14" x14ac:dyDescent="0.3">
      <c r="A281" s="29" t="s">
        <v>119</v>
      </c>
      <c r="B281" s="30">
        <v>19102470705.437389</v>
      </c>
      <c r="C281" s="30">
        <f t="shared" ref="C281" si="150">B281-B280</f>
        <v>-426288764.60886383</v>
      </c>
      <c r="D281" s="32">
        <f t="shared" ref="D281" si="151">(B281/B280)-1</f>
        <v>-2.1828768246273778E-2</v>
      </c>
      <c r="E281" s="37"/>
      <c r="H281" s="44"/>
      <c r="N281" s="44"/>
    </row>
    <row r="282" spans="1:14" x14ac:dyDescent="0.3">
      <c r="A282" s="29" t="s">
        <v>120</v>
      </c>
      <c r="B282" s="30">
        <v>19240620206.970058</v>
      </c>
      <c r="C282" s="30">
        <f t="shared" ref="C282" si="152">B282-B281</f>
        <v>138149501.53266907</v>
      </c>
      <c r="D282" s="32">
        <f t="shared" ref="D282" si="153">(B282/B281)-1</f>
        <v>7.2320226876907423E-3</v>
      </c>
      <c r="H282" s="44"/>
      <c r="N282" s="44"/>
    </row>
    <row r="283" spans="1:14" x14ac:dyDescent="0.3">
      <c r="A283" s="29" t="s">
        <v>121</v>
      </c>
      <c r="B283" s="30">
        <v>19497715377.422302</v>
      </c>
      <c r="C283" s="30">
        <f t="shared" ref="C283" si="154">B283-B282</f>
        <v>257095170.4522438</v>
      </c>
      <c r="D283" s="32">
        <f t="shared" ref="D283" si="155">(B283/B282)-1</f>
        <v>1.3362104115495654E-2</v>
      </c>
      <c r="H283" s="44"/>
      <c r="N283" s="44"/>
    </row>
    <row r="284" spans="1:14" x14ac:dyDescent="0.3">
      <c r="A284" s="29" t="s">
        <v>122</v>
      </c>
      <c r="B284" s="30">
        <v>20231877850.230103</v>
      </c>
      <c r="C284" s="30">
        <f t="shared" ref="C284" si="156">B284-B283</f>
        <v>734162472.80780029</v>
      </c>
      <c r="D284" s="32">
        <f t="shared" ref="D284" si="157">(B284/B283)-1</f>
        <v>3.7653769100452372E-2</v>
      </c>
      <c r="H284" s="44"/>
      <c r="N284" s="44"/>
    </row>
    <row r="285" spans="1:14" x14ac:dyDescent="0.3">
      <c r="A285" s="29" t="s">
        <v>123</v>
      </c>
      <c r="B285" s="30">
        <v>20728041752.402172</v>
      </c>
      <c r="C285" s="30">
        <f t="shared" ref="C285" si="158">B285-B284</f>
        <v>496163902.17206955</v>
      </c>
      <c r="D285" s="32">
        <f t="shared" ref="D285" si="159">(B285/B284)-1</f>
        <v>2.4523868018826889E-2</v>
      </c>
      <c r="H285" s="44"/>
      <c r="N285" s="44"/>
    </row>
    <row r="286" spans="1:14" x14ac:dyDescent="0.3">
      <c r="A286" s="29" t="s">
        <v>124</v>
      </c>
      <c r="B286" s="30">
        <v>20810015192.107063</v>
      </c>
      <c r="C286" s="30">
        <f t="shared" ref="C286" si="160">B286-B285</f>
        <v>81973439.704891205</v>
      </c>
      <c r="D286" s="32">
        <f t="shared" ref="D286" si="161">(B286/B285)-1</f>
        <v>3.9547122050442862E-3</v>
      </c>
      <c r="H286" s="44"/>
      <c r="N286" s="44"/>
    </row>
    <row r="287" spans="1:14" x14ac:dyDescent="0.3">
      <c r="A287" s="29" t="s">
        <v>125</v>
      </c>
      <c r="B287" s="30">
        <v>21257668559.40929</v>
      </c>
      <c r="C287" s="30">
        <f t="shared" ref="C287" si="162">B287-B286</f>
        <v>447653367.30222702</v>
      </c>
      <c r="D287" s="32">
        <f t="shared" ref="D287" si="163">(B287/B286)-1</f>
        <v>2.1511438755317025E-2</v>
      </c>
      <c r="E287" s="37"/>
      <c r="H287" s="44"/>
      <c r="N287" s="44"/>
    </row>
    <row r="288" spans="1:14" x14ac:dyDescent="0.3">
      <c r="A288" s="29" t="s">
        <v>126</v>
      </c>
      <c r="B288" s="30">
        <v>21211642999.911819</v>
      </c>
      <c r="C288" s="30">
        <f t="shared" ref="C288" si="164">B288-B287</f>
        <v>-46025559.497470856</v>
      </c>
      <c r="D288" s="32">
        <f t="shared" ref="D288" si="165">(B288/B287)-1</f>
        <v>-2.1651273454020847E-3</v>
      </c>
      <c r="H288" s="44"/>
      <c r="N288" s="44"/>
    </row>
    <row r="289" spans="1:14" x14ac:dyDescent="0.3">
      <c r="A289" s="29" t="s">
        <v>127</v>
      </c>
      <c r="B289" s="30">
        <v>20943877899.227436</v>
      </c>
      <c r="C289" s="30">
        <f t="shared" ref="C289" si="166">B289-B288</f>
        <v>-267765100.68438339</v>
      </c>
      <c r="D289" s="32">
        <f t="shared" ref="D289" si="167">(B289/B288)-1</f>
        <v>-1.2623496477170426E-2</v>
      </c>
      <c r="E289" s="37"/>
      <c r="H289" s="44"/>
      <c r="N289" s="44"/>
    </row>
    <row r="290" spans="1:14" x14ac:dyDescent="0.3">
      <c r="A290" s="29" t="s">
        <v>128</v>
      </c>
      <c r="B290" s="30">
        <v>20559962505.44138</v>
      </c>
      <c r="C290" s="30">
        <f t="shared" ref="C290" si="168">B290-B289</f>
        <v>-383915393.78605652</v>
      </c>
      <c r="D290" s="32">
        <f t="shared" ref="D290" si="169">(B290/B289)-1</f>
        <v>-1.8330673795621144E-2</v>
      </c>
      <c r="E290" s="37"/>
      <c r="H290" s="44"/>
      <c r="N290" s="44"/>
    </row>
    <row r="291" spans="1:14" x14ac:dyDescent="0.3">
      <c r="A291" s="29" t="s">
        <v>129</v>
      </c>
      <c r="B291" s="30">
        <v>20660636622.58107</v>
      </c>
      <c r="C291" s="30">
        <f t="shared" ref="C291" si="170">B291-B290</f>
        <v>100674117.1396904</v>
      </c>
      <c r="D291" s="32">
        <f t="shared" ref="D291" si="171">(B291/B290)-1</f>
        <v>4.8966099579728084E-3</v>
      </c>
      <c r="H291" s="44"/>
      <c r="N291" s="44"/>
    </row>
    <row r="292" spans="1:14" x14ac:dyDescent="0.3">
      <c r="A292" s="29" t="s">
        <v>130</v>
      </c>
      <c r="B292" s="30">
        <v>20674888449.726749</v>
      </c>
      <c r="C292" s="30">
        <f t="shared" ref="C292" si="172">B292-B291</f>
        <v>14251827.145679474</v>
      </c>
      <c r="D292" s="32">
        <f t="shared" ref="D292" si="173">(B292/B291)-1</f>
        <v>6.8980580831201621E-4</v>
      </c>
      <c r="H292" s="44"/>
      <c r="N292" s="44"/>
    </row>
    <row r="293" spans="1:14" x14ac:dyDescent="0.3">
      <c r="A293" s="29" t="s">
        <v>131</v>
      </c>
      <c r="B293" s="30">
        <v>20332606437.379601</v>
      </c>
      <c r="C293" s="30">
        <f t="shared" ref="C293" si="174">B293-B292</f>
        <v>-342282012.3471489</v>
      </c>
      <c r="D293" s="32">
        <f t="shared" ref="D293" si="175">(B293/B292)-1</f>
        <v>-1.6555446631765114E-2</v>
      </c>
      <c r="H293" s="44"/>
      <c r="N293" s="44"/>
    </row>
    <row r="294" spans="1:14" x14ac:dyDescent="0.3">
      <c r="A294" s="29" t="s">
        <v>132</v>
      </c>
      <c r="B294" s="30">
        <v>20329764280</v>
      </c>
      <c r="C294" s="30">
        <f t="shared" ref="C294:C295" si="176">B294-B293</f>
        <v>-2842157.3796005249</v>
      </c>
      <c r="D294" s="32">
        <f t="shared" ref="D294:D295" si="177">(B294/B293)-1</f>
        <v>-1.3978322889163231E-4</v>
      </c>
      <c r="E294" s="37"/>
      <c r="H294" s="44"/>
      <c r="N294" s="44"/>
    </row>
    <row r="295" spans="1:14" x14ac:dyDescent="0.3">
      <c r="A295" s="29" t="s">
        <v>133</v>
      </c>
      <c r="B295" s="30">
        <v>20500225351.340679</v>
      </c>
      <c r="C295" s="30">
        <f t="shared" si="176"/>
        <v>170461071.34067917</v>
      </c>
      <c r="D295" s="32">
        <f t="shared" si="177"/>
        <v>8.3848031385378441E-3</v>
      </c>
      <c r="H295" s="44"/>
      <c r="N295" s="44"/>
    </row>
    <row r="296" spans="1:14" x14ac:dyDescent="0.3">
      <c r="A296" s="29" t="s">
        <v>134</v>
      </c>
      <c r="B296" s="30">
        <v>19899459045.092461</v>
      </c>
      <c r="C296" s="30">
        <f t="shared" ref="C296" si="178">B296-B295</f>
        <v>-600766306.24821854</v>
      </c>
      <c r="D296" s="32">
        <f t="shared" ref="D296" si="179">(B296/B295)-1</f>
        <v>-2.9305351329171114E-2</v>
      </c>
      <c r="H296" s="44"/>
      <c r="N296" s="44"/>
    </row>
    <row r="297" spans="1:14" x14ac:dyDescent="0.3">
      <c r="A297" s="29" t="s">
        <v>135</v>
      </c>
      <c r="B297" s="30">
        <v>19865319132.749367</v>
      </c>
      <c r="C297" s="30">
        <f t="shared" ref="C297" si="180">B297-B296</f>
        <v>-34139912.343093872</v>
      </c>
      <c r="D297" s="32">
        <f t="shared" ref="D297" si="181">(B297/B296)-1</f>
        <v>-1.7156201214180156E-3</v>
      </c>
      <c r="H297" s="44"/>
      <c r="N297" s="44"/>
    </row>
    <row r="298" spans="1:14" x14ac:dyDescent="0.3">
      <c r="A298" s="29" t="s">
        <v>136</v>
      </c>
      <c r="B298" s="30">
        <v>20003411189.667633</v>
      </c>
      <c r="C298" s="30">
        <f t="shared" ref="C298" si="182">B298-B297</f>
        <v>138092056.9182663</v>
      </c>
      <c r="D298" s="32">
        <f t="shared" ref="D298" si="183">(B298/B297)-1</f>
        <v>6.951413969011444E-3</v>
      </c>
      <c r="H298" s="44"/>
      <c r="N298" s="44"/>
    </row>
    <row r="299" spans="1:14" x14ac:dyDescent="0.3">
      <c r="A299" s="29" t="s">
        <v>137</v>
      </c>
      <c r="B299" s="30">
        <v>20034632792.407124</v>
      </c>
      <c r="C299" s="30">
        <f t="shared" ref="C299" si="184">B299-B298</f>
        <v>31221602.739490509</v>
      </c>
      <c r="D299" s="32">
        <f t="shared" ref="D299" si="185">(B299/B298)-1</f>
        <v>1.5608139253577846E-3</v>
      </c>
      <c r="E299" s="37"/>
      <c r="H299" s="44"/>
      <c r="N299" s="44"/>
    </row>
    <row r="300" spans="1:14" x14ac:dyDescent="0.3">
      <c r="A300" s="29" t="s">
        <v>138</v>
      </c>
      <c r="B300" s="30">
        <v>19912585080.104317</v>
      </c>
      <c r="C300" s="30">
        <f t="shared" ref="C300" si="186">B300-B299</f>
        <v>-122047712.30280685</v>
      </c>
      <c r="D300" s="32">
        <f t="shared" ref="D300" si="187">(B300/B299)-1</f>
        <v>-6.0918367492646119E-3</v>
      </c>
      <c r="E300" s="37">
        <v>32000000</v>
      </c>
      <c r="F300" s="40" t="s">
        <v>182</v>
      </c>
      <c r="H300" s="44"/>
      <c r="N300" s="44"/>
    </row>
    <row r="301" spans="1:14" x14ac:dyDescent="0.3">
      <c r="A301" s="29" t="s">
        <v>139</v>
      </c>
      <c r="B301" s="30">
        <v>19654189453.39394</v>
      </c>
      <c r="C301" s="30">
        <f t="shared" ref="C301" si="188">B301-B300</f>
        <v>-258395626.71037674</v>
      </c>
      <c r="D301" s="32">
        <f t="shared" ref="D301" si="189">(B301/B300)-1</f>
        <v>-1.2976498313549079E-2</v>
      </c>
      <c r="E301" s="99"/>
      <c r="F301"/>
      <c r="H301" s="44"/>
      <c r="N301" s="44"/>
    </row>
    <row r="302" spans="1:14" x14ac:dyDescent="0.3">
      <c r="A302" s="29" t="s">
        <v>140</v>
      </c>
      <c r="B302" s="30">
        <v>19676724675.222984</v>
      </c>
      <c r="C302" s="30">
        <f t="shared" ref="C302" si="190">B302-B301</f>
        <v>22535221.829044342</v>
      </c>
      <c r="D302" s="32">
        <f t="shared" ref="D302" si="191">(B302/B301)-1</f>
        <v>1.14658617097807E-3</v>
      </c>
      <c r="E302" s="99"/>
      <c r="F302"/>
      <c r="H302" s="44"/>
      <c r="N302" s="44"/>
    </row>
    <row r="303" spans="1:14" x14ac:dyDescent="0.3">
      <c r="A303" s="29" t="s">
        <v>141</v>
      </c>
      <c r="B303" s="30">
        <v>19212631648.876736</v>
      </c>
      <c r="C303" s="30">
        <f t="shared" ref="C303:C308" si="192">B303-B302</f>
        <v>-464093026.34624863</v>
      </c>
      <c r="D303" s="32">
        <f t="shared" ref="D303:D308" si="193">(B303/B302)-1</f>
        <v>-2.3585888099081687E-2</v>
      </c>
      <c r="E303" s="99"/>
      <c r="F303"/>
      <c r="H303" s="44"/>
      <c r="N303" s="44"/>
    </row>
    <row r="304" spans="1:14" x14ac:dyDescent="0.3">
      <c r="A304" s="29" t="s">
        <v>142</v>
      </c>
      <c r="B304" s="30">
        <v>19527883814.44923</v>
      </c>
      <c r="C304" s="30">
        <f t="shared" si="192"/>
        <v>315252165.57249451</v>
      </c>
      <c r="D304" s="32">
        <f t="shared" si="193"/>
        <v>1.6408588439831284E-2</v>
      </c>
      <c r="E304" s="99"/>
      <c r="F304"/>
      <c r="H304" s="44"/>
      <c r="N304" s="44"/>
    </row>
    <row r="305" spans="1:14" x14ac:dyDescent="0.3">
      <c r="A305" s="29" t="s">
        <v>143</v>
      </c>
      <c r="B305" s="30">
        <v>19966594581.858803</v>
      </c>
      <c r="C305" s="30">
        <f t="shared" si="192"/>
        <v>438710767.4095726</v>
      </c>
      <c r="D305" s="32">
        <f t="shared" si="193"/>
        <v>2.2465863253700702E-2</v>
      </c>
      <c r="E305" s="37">
        <v>50000000</v>
      </c>
      <c r="F305" s="40" t="s">
        <v>182</v>
      </c>
      <c r="H305" s="44"/>
      <c r="N305" s="44"/>
    </row>
    <row r="306" spans="1:14" x14ac:dyDescent="0.3">
      <c r="A306" s="29" t="s">
        <v>144</v>
      </c>
      <c r="B306" s="30">
        <v>19326331728.421616</v>
      </c>
      <c r="C306" s="30">
        <f t="shared" si="192"/>
        <v>-640262853.43718719</v>
      </c>
      <c r="D306" s="32">
        <f t="shared" si="193"/>
        <v>-3.2066702752552301E-2</v>
      </c>
      <c r="E306" s="99"/>
      <c r="F306"/>
      <c r="H306" s="44"/>
      <c r="N306" s="44"/>
    </row>
    <row r="307" spans="1:14" x14ac:dyDescent="0.3">
      <c r="A307" s="29" t="s">
        <v>145</v>
      </c>
      <c r="B307" s="30">
        <v>19011873392.274315</v>
      </c>
      <c r="C307" s="30">
        <f t="shared" si="192"/>
        <v>-314458336.14730072</v>
      </c>
      <c r="D307" s="32">
        <f t="shared" si="193"/>
        <v>-1.6270978919649459E-2</v>
      </c>
      <c r="E307" s="99"/>
      <c r="F307"/>
      <c r="H307" s="44"/>
      <c r="N307" s="44"/>
    </row>
    <row r="308" spans="1:14" x14ac:dyDescent="0.3">
      <c r="A308" s="29" t="s">
        <v>146</v>
      </c>
      <c r="B308" s="30">
        <v>18448972428.102814</v>
      </c>
      <c r="C308" s="30">
        <f t="shared" si="192"/>
        <v>-562900964.17150116</v>
      </c>
      <c r="D308" s="32">
        <f t="shared" si="193"/>
        <v>-2.9607864125596461E-2</v>
      </c>
      <c r="E308" s="99"/>
      <c r="F308"/>
      <c r="H308" s="44"/>
      <c r="N308" s="44"/>
    </row>
    <row r="309" spans="1:14" x14ac:dyDescent="0.3">
      <c r="A309" s="29" t="s">
        <v>147</v>
      </c>
      <c r="B309" s="30">
        <v>19198617971.231495</v>
      </c>
      <c r="C309" s="30">
        <f t="shared" ref="C309" si="194">B309-B308</f>
        <v>749645543.12868118</v>
      </c>
      <c r="D309" s="32">
        <f t="shared" ref="D309" si="195">(B309/B308)-1</f>
        <v>4.063345782807759E-2</v>
      </c>
      <c r="E309" s="99"/>
      <c r="F309"/>
      <c r="H309" s="44"/>
      <c r="N309" s="44"/>
    </row>
    <row r="310" spans="1:14" x14ac:dyDescent="0.3">
      <c r="A310" s="29" t="s">
        <v>148</v>
      </c>
      <c r="B310" s="30">
        <v>19963868851.065777</v>
      </c>
      <c r="C310" s="30">
        <f t="shared" ref="C310" si="196">B310-B309</f>
        <v>765250879.83428192</v>
      </c>
      <c r="D310" s="32">
        <f t="shared" ref="D310" si="197">(B310/B309)-1</f>
        <v>3.9859685784725984E-2</v>
      </c>
      <c r="E310" s="99"/>
      <c r="F310"/>
      <c r="H310" s="44"/>
      <c r="N310" s="44"/>
    </row>
    <row r="311" spans="1:14" x14ac:dyDescent="0.3">
      <c r="A311" s="29" t="s">
        <v>149</v>
      </c>
      <c r="B311" s="30">
        <v>20371605584.689907</v>
      </c>
      <c r="C311" s="30">
        <f t="shared" ref="C311" si="198">B311-B310</f>
        <v>407736733.62413025</v>
      </c>
      <c r="D311" s="32">
        <f t="shared" ref="D311" si="199">(B311/B310)-1</f>
        <v>2.0423733328741145E-2</v>
      </c>
      <c r="E311" s="99"/>
      <c r="F311"/>
      <c r="H311" s="44"/>
      <c r="N311" s="44"/>
    </row>
    <row r="312" spans="1:14" x14ac:dyDescent="0.3">
      <c r="A312" s="29" t="s">
        <v>150</v>
      </c>
      <c r="B312" s="30">
        <v>20474358287.690014</v>
      </c>
      <c r="C312" s="30">
        <f t="shared" ref="C312" si="200">B312-B311</f>
        <v>102752703.00010681</v>
      </c>
      <c r="D312" s="32">
        <f t="shared" ref="D312" si="201">(B312/B311)-1</f>
        <v>5.0439177497785259E-3</v>
      </c>
      <c r="E312" s="99"/>
      <c r="F312"/>
      <c r="H312" s="44"/>
      <c r="N312" s="44"/>
    </row>
    <row r="313" spans="1:14" x14ac:dyDescent="0.3">
      <c r="A313" s="29" t="s">
        <v>151</v>
      </c>
      <c r="B313" s="30">
        <v>20473105831.307518</v>
      </c>
      <c r="C313" s="30">
        <f t="shared" ref="C313" si="202">B313-B312</f>
        <v>-1252456.3824958801</v>
      </c>
      <c r="D313" s="32">
        <f t="shared" ref="D313" si="203">(B313/B312)-1</f>
        <v>-6.1171948097071827E-5</v>
      </c>
      <c r="E313" s="99"/>
      <c r="F313"/>
      <c r="H313" s="44"/>
      <c r="N313" s="44"/>
    </row>
    <row r="314" spans="1:14" x14ac:dyDescent="0.3">
      <c r="A314" s="29" t="s">
        <v>152</v>
      </c>
      <c r="B314" s="30">
        <v>20467236387.83577</v>
      </c>
      <c r="C314" s="30">
        <f t="shared" ref="C314" si="204">B314-B313</f>
        <v>-5869443.4717483521</v>
      </c>
      <c r="D314" s="32">
        <f t="shared" ref="D314" si="205">(B314/B313)-1</f>
        <v>-2.8669042792583976E-4</v>
      </c>
      <c r="E314" s="99"/>
      <c r="F314"/>
      <c r="H314" s="44"/>
      <c r="N314" s="44"/>
    </row>
    <row r="315" spans="1:14" x14ac:dyDescent="0.3">
      <c r="A315" s="29" t="s">
        <v>153</v>
      </c>
      <c r="B315" s="30">
        <v>20613818192.457478</v>
      </c>
      <c r="C315" s="30">
        <f t="shared" ref="C315" si="206">B315-B314</f>
        <v>146581804.62170792</v>
      </c>
      <c r="D315" s="32">
        <f t="shared" ref="D315" si="207">(B315/B314)-1</f>
        <v>7.1617780653974172E-3</v>
      </c>
      <c r="E315" s="99"/>
      <c r="F315"/>
      <c r="H315" s="44"/>
      <c r="N315" s="44"/>
    </row>
    <row r="316" spans="1:14" x14ac:dyDescent="0.3">
      <c r="A316" s="29" t="s">
        <v>154</v>
      </c>
      <c r="B316" s="30">
        <v>20004478779.095337</v>
      </c>
      <c r="C316" s="30">
        <f t="shared" ref="C316" si="208">B316-B315</f>
        <v>-609339413.36214066</v>
      </c>
      <c r="D316" s="32">
        <f t="shared" ref="D316" si="209">(B316/B315)-1</f>
        <v>-2.9559754901937407E-2</v>
      </c>
      <c r="E316" s="99"/>
      <c r="F316"/>
      <c r="H316" s="44"/>
      <c r="N316" s="44"/>
    </row>
    <row r="317" spans="1:14" x14ac:dyDescent="0.3">
      <c r="A317" s="29" t="s">
        <v>155</v>
      </c>
      <c r="B317" s="30">
        <v>19963306749.094475</v>
      </c>
      <c r="C317" s="30">
        <f t="shared" ref="C317" si="210">B317-B316</f>
        <v>-41172030.000862122</v>
      </c>
      <c r="D317" s="32">
        <f t="shared" ref="D317" si="211">(B317/B316)-1</f>
        <v>-2.0581406021878967E-3</v>
      </c>
      <c r="E317" s="99"/>
      <c r="F317"/>
      <c r="H317" s="44"/>
      <c r="N317" s="44"/>
    </row>
    <row r="318" spans="1:14" x14ac:dyDescent="0.3">
      <c r="A318" s="29" t="s">
        <v>156</v>
      </c>
      <c r="B318" s="30">
        <v>20077768231.988792</v>
      </c>
      <c r="C318" s="30">
        <f t="shared" ref="C318" si="212">B318-B317</f>
        <v>114461482.89431763</v>
      </c>
      <c r="D318" s="32">
        <f t="shared" ref="D318" si="213">(B318/B317)-1</f>
        <v>5.7335933536917238E-3</v>
      </c>
      <c r="E318" s="99"/>
      <c r="F318"/>
      <c r="H318" s="44"/>
      <c r="N318" s="44"/>
    </row>
    <row r="319" spans="1:14" x14ac:dyDescent="0.3">
      <c r="A319" s="29" t="s">
        <v>157</v>
      </c>
      <c r="B319" s="30">
        <v>20045214668.079807</v>
      </c>
      <c r="C319" s="30">
        <f t="shared" ref="C319" si="214">B319-B318</f>
        <v>-32553563.908985138</v>
      </c>
      <c r="D319" s="32">
        <f t="shared" ref="D319" si="215">(B319/B318)-1</f>
        <v>-1.6213736274293122E-3</v>
      </c>
      <c r="E319" s="37">
        <v>22470000</v>
      </c>
      <c r="F319" s="40" t="s">
        <v>182</v>
      </c>
      <c r="G319" s="29" t="s">
        <v>183</v>
      </c>
      <c r="H319" s="44"/>
      <c r="N319" s="44"/>
    </row>
    <row r="320" spans="1:14" x14ac:dyDescent="0.3">
      <c r="A320" s="29" t="s">
        <v>158</v>
      </c>
      <c r="B320" s="30">
        <v>20097932651.120163</v>
      </c>
      <c r="C320" s="30">
        <f t="shared" ref="C320" si="216">B320-B319</f>
        <v>52717983.040355682</v>
      </c>
      <c r="D320" s="32">
        <f t="shared" ref="D320" si="217">(B320/B319)-1</f>
        <v>2.6299535282254816E-3</v>
      </c>
      <c r="E320" s="99"/>
      <c r="F320"/>
      <c r="G320"/>
      <c r="H320" s="44"/>
      <c r="N320" s="44"/>
    </row>
    <row r="321" spans="1:14" x14ac:dyDescent="0.3">
      <c r="A321" s="29" t="s">
        <v>159</v>
      </c>
      <c r="B321" s="30">
        <v>19968614754.97192</v>
      </c>
      <c r="C321" s="30">
        <f t="shared" ref="C321" si="218">B321-B320</f>
        <v>-129317896.14824295</v>
      </c>
      <c r="D321" s="32">
        <f t="shared" ref="D321" si="219">(B321/B320)-1</f>
        <v>-6.4343879737817078E-3</v>
      </c>
      <c r="E321" s="99"/>
      <c r="F321"/>
      <c r="G321"/>
      <c r="H321" s="44"/>
      <c r="N321" s="44"/>
    </row>
    <row r="322" spans="1:14" x14ac:dyDescent="0.3">
      <c r="A322" s="29" t="s">
        <v>160</v>
      </c>
      <c r="B322" s="30">
        <v>20115912992.379196</v>
      </c>
      <c r="C322" s="30">
        <f t="shared" ref="C322" si="220">B322-B321</f>
        <v>147298237.40727615</v>
      </c>
      <c r="D322" s="32">
        <f t="shared" ref="D322" si="221">(B322/B321)-1</f>
        <v>7.3764875137671826E-3</v>
      </c>
      <c r="E322" s="99"/>
      <c r="F322"/>
      <c r="G322"/>
      <c r="H322" s="44"/>
      <c r="N322" s="44"/>
    </row>
    <row r="323" spans="1:14" x14ac:dyDescent="0.3">
      <c r="A323" s="29" t="s">
        <v>161</v>
      </c>
      <c r="B323" s="30">
        <v>20068863472.848377</v>
      </c>
      <c r="C323" s="30">
        <f t="shared" ref="C323" si="222">B323-B322</f>
        <v>-47049519.530818939</v>
      </c>
      <c r="D323" s="32">
        <f t="shared" ref="D323" si="223">(B323/B322)-1</f>
        <v>-2.3389204133386077E-3</v>
      </c>
      <c r="E323" s="99"/>
      <c r="F323"/>
      <c r="G323"/>
      <c r="H323" s="44"/>
      <c r="N323" s="44"/>
    </row>
    <row r="324" spans="1:14" x14ac:dyDescent="0.3">
      <c r="A324" s="29" t="s">
        <v>162</v>
      </c>
      <c r="B324" s="30">
        <v>19920077653.342876</v>
      </c>
      <c r="C324" s="30">
        <f t="shared" ref="C324" si="224">B324-B323</f>
        <v>-148785819.50550079</v>
      </c>
      <c r="D324" s="32">
        <f t="shared" ref="D324" si="225">(B324/B323)-1</f>
        <v>-7.4137640981412067E-3</v>
      </c>
      <c r="E324" s="99"/>
      <c r="F324"/>
      <c r="G324"/>
      <c r="H324" s="44"/>
      <c r="N324" s="44"/>
    </row>
    <row r="325" spans="1:14" x14ac:dyDescent="0.3">
      <c r="A325" s="29" t="s">
        <v>163</v>
      </c>
      <c r="B325" s="30">
        <v>19740405398.449963</v>
      </c>
      <c r="C325" s="30">
        <f t="shared" ref="C325" si="226">B325-B324</f>
        <v>-179672254.89291382</v>
      </c>
      <c r="D325" s="32">
        <f t="shared" ref="D325" si="227">(B325/B324)-1</f>
        <v>-9.019656349721239E-3</v>
      </c>
      <c r="E325" s="99"/>
      <c r="F325"/>
      <c r="G325"/>
      <c r="H325" s="44"/>
      <c r="N325" s="44"/>
    </row>
    <row r="326" spans="1:14" x14ac:dyDescent="0.3">
      <c r="A326" s="29" t="s">
        <v>164</v>
      </c>
      <c r="B326" s="30">
        <v>19884927813.321415</v>
      </c>
      <c r="C326" s="30">
        <f t="shared" ref="C326" si="228">B326-B325</f>
        <v>144522414.87145233</v>
      </c>
      <c r="D326" s="32">
        <f t="shared" ref="D326" si="229">(B326/B325)-1</f>
        <v>7.3211472588501358E-3</v>
      </c>
      <c r="E326" s="99"/>
      <c r="F326"/>
      <c r="G326"/>
      <c r="H326" s="44"/>
      <c r="N326" s="44"/>
    </row>
    <row r="327" spans="1:14" x14ac:dyDescent="0.3">
      <c r="A327" s="29" t="s">
        <v>165</v>
      </c>
      <c r="B327" s="30">
        <v>20192229883.904984</v>
      </c>
      <c r="C327" s="30">
        <f t="shared" ref="C327" si="230">B327-B326</f>
        <v>307302070.58356857</v>
      </c>
      <c r="D327" s="32">
        <f t="shared" ref="D327" si="231">(B327/B326)-1</f>
        <v>1.5454019922450879E-2</v>
      </c>
      <c r="E327" s="99"/>
      <c r="F327"/>
      <c r="G327"/>
      <c r="H327" s="44"/>
      <c r="N327" s="44"/>
    </row>
    <row r="328" spans="1:14" x14ac:dyDescent="0.3">
      <c r="A328" s="29" t="s">
        <v>166</v>
      </c>
      <c r="B328" s="30">
        <v>20220735581.823399</v>
      </c>
      <c r="C328" s="30">
        <f t="shared" ref="C328" si="232">B328-B327</f>
        <v>28505697.91841507</v>
      </c>
      <c r="D328" s="32">
        <f t="shared" ref="D328" si="233">(B328/B327)-1</f>
        <v>1.411716193917556E-3</v>
      </c>
      <c r="E328" s="99"/>
      <c r="F328"/>
      <c r="G328"/>
      <c r="H328" s="44"/>
      <c r="N328" s="44"/>
    </row>
    <row r="329" spans="1:14" x14ac:dyDescent="0.3">
      <c r="A329" s="29" t="s">
        <v>167</v>
      </c>
      <c r="B329" s="30">
        <v>20113756214.185272</v>
      </c>
      <c r="C329" s="30">
        <f t="shared" ref="C329" si="234">B329-B328</f>
        <v>-106979367.63812637</v>
      </c>
      <c r="D329" s="32">
        <f t="shared" ref="D329" si="235">(B329/B328)-1</f>
        <v>-5.2905774473551714E-3</v>
      </c>
      <c r="E329" s="99"/>
      <c r="F329"/>
      <c r="G329"/>
      <c r="H329" s="44"/>
      <c r="N329" s="44"/>
    </row>
    <row r="330" spans="1:14" x14ac:dyDescent="0.3">
      <c r="A330" s="29" t="s">
        <v>168</v>
      </c>
      <c r="B330" s="30">
        <v>20049004813</v>
      </c>
      <c r="C330" s="30">
        <f t="shared" ref="C330" si="236">B330-B329</f>
        <v>-64751401.185272217</v>
      </c>
      <c r="D330" s="32">
        <f t="shared" ref="D330" si="237">(B330/B329)-1</f>
        <v>-3.2192595204870722E-3</v>
      </c>
      <c r="E330" s="37">
        <v>87800000</v>
      </c>
      <c r="F330" s="40" t="s">
        <v>182</v>
      </c>
      <c r="G330"/>
      <c r="H330" s="44"/>
      <c r="N330" s="44"/>
    </row>
    <row r="331" spans="1:14" x14ac:dyDescent="0.3">
      <c r="A331" s="29" t="s">
        <v>169</v>
      </c>
      <c r="B331" s="30">
        <v>20069107939.229149</v>
      </c>
      <c r="C331" s="30">
        <f t="shared" ref="C331" si="238">B331-B330</f>
        <v>20103126.229148865</v>
      </c>
      <c r="D331" s="32">
        <f t="shared" ref="D331" si="239">(B331/B330)-1</f>
        <v>1.0026994564893421E-3</v>
      </c>
      <c r="E331" s="99"/>
      <c r="F331"/>
      <c r="G331"/>
      <c r="H331" s="44"/>
      <c r="N331" s="44"/>
    </row>
    <row r="332" spans="1:14" x14ac:dyDescent="0.3">
      <c r="A332" s="29" t="s">
        <v>170</v>
      </c>
      <c r="B332" s="30">
        <v>20195964197.525616</v>
      </c>
      <c r="C332" s="30">
        <f t="shared" ref="C332" si="240">B332-B331</f>
        <v>126856258.29646683</v>
      </c>
      <c r="D332" s="32">
        <f t="shared" ref="D332" si="241">(B332/B331)-1</f>
        <v>6.3209714492840074E-3</v>
      </c>
      <c r="E332" s="99"/>
      <c r="F332"/>
      <c r="G332"/>
      <c r="H332" s="44"/>
      <c r="N332" s="44"/>
    </row>
    <row r="333" spans="1:14" x14ac:dyDescent="0.3">
      <c r="A333" s="29" t="s">
        <v>171</v>
      </c>
      <c r="B333" s="30">
        <v>20623735982.932613</v>
      </c>
      <c r="C333" s="30">
        <f t="shared" ref="C333" si="242">B333-B332</f>
        <v>427771785.40699768</v>
      </c>
      <c r="D333" s="32">
        <f t="shared" ref="D333" si="243">(B333/B332)-1</f>
        <v>2.1181052868939343E-2</v>
      </c>
      <c r="E333" s="99"/>
      <c r="F333"/>
      <c r="G333"/>
      <c r="H333" s="44"/>
      <c r="N333" s="44"/>
    </row>
    <row r="334" spans="1:14" x14ac:dyDescent="0.3">
      <c r="A334" s="29" t="s">
        <v>172</v>
      </c>
      <c r="B334" s="30">
        <v>21368417860.735676</v>
      </c>
      <c r="C334" s="30">
        <f t="shared" ref="C334" si="244">B334-B333</f>
        <v>744681877.80306244</v>
      </c>
      <c r="D334" s="32">
        <f t="shared" ref="D334" si="245">(B334/B333)-1</f>
        <v>3.6108000917939087E-2</v>
      </c>
      <c r="E334" s="37">
        <v>12000000</v>
      </c>
      <c r="F334" s="40" t="s">
        <v>182</v>
      </c>
      <c r="G334"/>
      <c r="H334" s="44"/>
      <c r="N334" s="44"/>
    </row>
    <row r="335" spans="1:14" x14ac:dyDescent="0.3">
      <c r="A335" s="29" t="s">
        <v>173</v>
      </c>
      <c r="B335" s="30">
        <v>21971011777.853264</v>
      </c>
      <c r="C335" s="30">
        <f t="shared" ref="C335" si="246">B335-B334</f>
        <v>602593917.11758804</v>
      </c>
      <c r="D335" s="32">
        <f t="shared" ref="D335" si="247">(B335/B334)-1</f>
        <v>2.8200212156317406E-2</v>
      </c>
      <c r="E335" s="99"/>
      <c r="F335"/>
      <c r="H335" s="44"/>
      <c r="N335" s="44"/>
    </row>
    <row r="336" spans="1:14" x14ac:dyDescent="0.3">
      <c r="A336" s="29" t="s">
        <v>174</v>
      </c>
      <c r="B336" s="30">
        <v>21789051388.950977</v>
      </c>
      <c r="C336" s="30">
        <f t="shared" ref="C336" si="248">B336-B335</f>
        <v>-181960388.90228653</v>
      </c>
      <c r="D336" s="32">
        <f t="shared" ref="D336" si="249">(B336/B335)-1</f>
        <v>-8.2818393045377414E-3</v>
      </c>
      <c r="E336" s="99"/>
      <c r="F336"/>
      <c r="H336" s="44"/>
      <c r="N336" s="44"/>
    </row>
    <row r="337" spans="1:14" x14ac:dyDescent="0.3">
      <c r="A337" s="29" t="s">
        <v>175</v>
      </c>
      <c r="B337" s="30">
        <v>22192957088.987717</v>
      </c>
      <c r="C337" s="30">
        <f t="shared" ref="C337" si="250">B337-B336</f>
        <v>403905700.03673935</v>
      </c>
      <c r="D337" s="32">
        <f t="shared" ref="D337" si="251">(B337/B336)-1</f>
        <v>1.8537094287709888E-2</v>
      </c>
      <c r="E337" s="99"/>
      <c r="F337"/>
      <c r="H337" s="44"/>
      <c r="N337" s="44"/>
    </row>
    <row r="338" spans="1:14" x14ac:dyDescent="0.3">
      <c r="A338" s="29" t="s">
        <v>176</v>
      </c>
      <c r="B338" s="30">
        <v>21542885502.755527</v>
      </c>
      <c r="C338" s="30">
        <f t="shared" ref="C338" si="252">B338-B337</f>
        <v>-650071586.23218918</v>
      </c>
      <c r="D338" s="32">
        <f t="shared" ref="D338" si="253">(B338/B337)-1</f>
        <v>-2.9291796655379398E-2</v>
      </c>
      <c r="E338" s="99"/>
      <c r="F338"/>
      <c r="H338" s="44"/>
      <c r="N338" s="44"/>
    </row>
    <row r="339" spans="1:14" x14ac:dyDescent="0.3">
      <c r="A339" s="29" t="s">
        <v>177</v>
      </c>
      <c r="B339" s="30">
        <v>21628829566.059994</v>
      </c>
      <c r="C339" s="30">
        <f t="shared" ref="C339" si="254">B339-B338</f>
        <v>85944063.304466248</v>
      </c>
      <c r="D339" s="32">
        <f t="shared" ref="D339" si="255">(B339/B338)-1</f>
        <v>3.9894406574956243E-3</v>
      </c>
      <c r="E339" s="99"/>
      <c r="F339"/>
      <c r="H339" s="44"/>
      <c r="N339" s="44"/>
    </row>
    <row r="340" spans="1:14" x14ac:dyDescent="0.3">
      <c r="A340" s="29" t="s">
        <v>178</v>
      </c>
      <c r="B340" s="30">
        <v>21609808360.704754</v>
      </c>
      <c r="C340" s="30">
        <f t="shared" ref="C340" si="256">B340-B339</f>
        <v>-19021205.355239868</v>
      </c>
      <c r="D340" s="32">
        <f t="shared" ref="D340" si="257">(B340/B339)-1</f>
        <v>-8.7943757183639448E-4</v>
      </c>
      <c r="E340" s="99"/>
      <c r="F340"/>
      <c r="H340" s="44"/>
      <c r="N340" s="44"/>
    </row>
    <row r="341" spans="1:14" x14ac:dyDescent="0.3">
      <c r="A341" s="29" t="s">
        <v>179</v>
      </c>
      <c r="B341" s="30">
        <v>21529171989.959675</v>
      </c>
      <c r="C341" s="30">
        <f t="shared" ref="C341" si="258">B341-B340</f>
        <v>-80636370.745079041</v>
      </c>
      <c r="D341" s="32">
        <f t="shared" ref="D341" si="259">(B341/B340)-1</f>
        <v>-3.7314708857718593E-3</v>
      </c>
      <c r="E341" s="99"/>
      <c r="F341"/>
      <c r="H341" s="44"/>
      <c r="N341" s="44"/>
    </row>
    <row r="342" spans="1:14" x14ac:dyDescent="0.3">
      <c r="A342" s="29" t="s">
        <v>180</v>
      </c>
      <c r="B342" s="30">
        <v>21652223630.936596</v>
      </c>
      <c r="C342" s="30">
        <f t="shared" ref="C342" si="260">B342-B341</f>
        <v>123051640.97692108</v>
      </c>
      <c r="D342" s="32">
        <f t="shared" ref="D342" si="261">(B342/B341)-1</f>
        <v>5.7155770335388656E-3</v>
      </c>
      <c r="E342" s="99"/>
      <c r="F342"/>
      <c r="H342" s="44"/>
      <c r="N342" s="44"/>
    </row>
    <row r="343" spans="1:14" x14ac:dyDescent="0.3">
      <c r="A343" s="29" t="s">
        <v>181</v>
      </c>
      <c r="B343" s="30">
        <v>22189852641.097595</v>
      </c>
      <c r="C343" s="30">
        <f t="shared" ref="C343" si="262">B343-B342</f>
        <v>537629010.1609993</v>
      </c>
      <c r="D343" s="32">
        <f t="shared" ref="D343" si="263">(B343/B342)-1</f>
        <v>2.4830198474065091E-2</v>
      </c>
      <c r="E343" s="99"/>
      <c r="F343"/>
      <c r="H343" s="44"/>
      <c r="N343" s="44"/>
    </row>
    <row r="344" spans="1:14" x14ac:dyDescent="0.3">
      <c r="A344" s="29" t="s">
        <v>184</v>
      </c>
      <c r="B344" s="30">
        <v>23033996042.17141</v>
      </c>
      <c r="C344" s="30">
        <f t="shared" ref="C344" si="264">B344-B343</f>
        <v>844143401.07381439</v>
      </c>
      <c r="D344" s="32">
        <f t="shared" ref="D344" si="265">(B344/B343)-1</f>
        <v>3.8041866015386949E-2</v>
      </c>
      <c r="E344" s="37">
        <v>50000000</v>
      </c>
      <c r="F344" s="40" t="s">
        <v>182</v>
      </c>
      <c r="H344" s="44"/>
      <c r="N344" s="44"/>
    </row>
    <row r="345" spans="1:14" x14ac:dyDescent="0.3">
      <c r="A345" s="29" t="s">
        <v>185</v>
      </c>
      <c r="B345" s="30">
        <v>23291110323.234001</v>
      </c>
      <c r="C345" s="30">
        <f t="shared" ref="C345" si="266">B345-B344</f>
        <v>257114281.06259155</v>
      </c>
      <c r="D345" s="32">
        <f t="shared" ref="D345" si="267">(B345/B344)-1</f>
        <v>1.1162382792454073E-2</v>
      </c>
      <c r="E345" s="99"/>
      <c r="F345"/>
      <c r="H345" s="44"/>
      <c r="N345" s="44"/>
    </row>
    <row r="346" spans="1:14" x14ac:dyDescent="0.3">
      <c r="A346" s="29" t="s">
        <v>186</v>
      </c>
      <c r="B346" s="30">
        <v>23230736855.610302</v>
      </c>
      <c r="C346" s="30">
        <f t="shared" ref="C346" si="268">B346-B345</f>
        <v>-60373467.623699188</v>
      </c>
      <c r="D346" s="32">
        <f t="shared" ref="D346" si="269">(B346/B345)-1</f>
        <v>-2.5921249260270063E-3</v>
      </c>
      <c r="E346" s="99"/>
      <c r="F346"/>
      <c r="H346" s="44"/>
      <c r="N346" s="44"/>
    </row>
    <row r="347" spans="1:14" x14ac:dyDescent="0.3">
      <c r="A347" s="29" t="s">
        <v>187</v>
      </c>
      <c r="B347" s="30">
        <v>22938228128.57452</v>
      </c>
      <c r="C347" s="30">
        <f t="shared" ref="C347:C352" si="270">B347-B346</f>
        <v>-292508727.03578186</v>
      </c>
      <c r="D347" s="32">
        <f t="shared" ref="D347:D352" si="271">(B347/B346)-1</f>
        <v>-1.2591452817612203E-2</v>
      </c>
      <c r="E347" s="99"/>
      <c r="F347"/>
      <c r="H347" s="44"/>
      <c r="N347" s="44"/>
    </row>
    <row r="348" spans="1:14" x14ac:dyDescent="0.3">
      <c r="A348" s="29" t="s">
        <v>188</v>
      </c>
      <c r="B348" s="30">
        <v>23050094232.509113</v>
      </c>
      <c r="C348" s="30">
        <f t="shared" si="270"/>
        <v>111866103.9345932</v>
      </c>
      <c r="D348" s="32">
        <f t="shared" si="271"/>
        <v>4.8768415462412396E-3</v>
      </c>
      <c r="E348" s="99"/>
      <c r="F348"/>
      <c r="H348" s="44"/>
      <c r="N348" s="44"/>
    </row>
    <row r="349" spans="1:14" x14ac:dyDescent="0.3">
      <c r="A349" s="29" t="s">
        <v>189</v>
      </c>
      <c r="B349" s="30">
        <v>23622730825.506134</v>
      </c>
      <c r="C349" s="30">
        <f t="shared" si="270"/>
        <v>572636592.99702072</v>
      </c>
      <c r="D349" s="32">
        <f t="shared" si="271"/>
        <v>2.4843134575536441E-2</v>
      </c>
      <c r="E349" s="99"/>
      <c r="F349"/>
      <c r="H349" s="44"/>
      <c r="N349" s="44"/>
    </row>
    <row r="350" spans="1:14" x14ac:dyDescent="0.3">
      <c r="A350" s="29" t="s">
        <v>190</v>
      </c>
      <c r="B350" s="30">
        <v>24080176264.28989</v>
      </c>
      <c r="C350" s="30">
        <f t="shared" si="270"/>
        <v>457445438.78375626</v>
      </c>
      <c r="D350" s="32">
        <f t="shared" si="271"/>
        <v>1.9364629862769211E-2</v>
      </c>
      <c r="E350" s="99"/>
      <c r="F350"/>
      <c r="H350" s="44"/>
      <c r="N350" s="44"/>
    </row>
    <row r="351" spans="1:14" x14ac:dyDescent="0.3">
      <c r="A351" s="29" t="s">
        <v>191</v>
      </c>
      <c r="B351" s="30">
        <v>24169914575.034187</v>
      </c>
      <c r="C351" s="30">
        <f t="shared" si="270"/>
        <v>89738310.744297028</v>
      </c>
      <c r="D351" s="32">
        <f t="shared" si="271"/>
        <v>3.7266467553800364E-3</v>
      </c>
      <c r="E351" s="99"/>
      <c r="F351"/>
      <c r="G351"/>
      <c r="H351" s="44"/>
      <c r="N351" s="44"/>
    </row>
    <row r="352" spans="1:14" x14ac:dyDescent="0.3">
      <c r="A352" s="29" t="s">
        <v>192</v>
      </c>
      <c r="B352" s="30">
        <v>23738759825.575195</v>
      </c>
      <c r="C352" s="30">
        <f t="shared" si="270"/>
        <v>-431154749.458992</v>
      </c>
      <c r="D352" s="32">
        <f t="shared" si="271"/>
        <v>-1.7838488759258753E-2</v>
      </c>
      <c r="E352" s="99"/>
      <c r="F352"/>
      <c r="G352"/>
      <c r="H352" s="44"/>
      <c r="N352" s="44"/>
    </row>
    <row r="353" spans="1:14" x14ac:dyDescent="0.3">
      <c r="A353" s="29" t="s">
        <v>193</v>
      </c>
      <c r="B353" s="30">
        <v>23699351872.330696</v>
      </c>
      <c r="C353" s="30">
        <f t="shared" ref="C353" si="272">B353-B352</f>
        <v>-39407953.244499207</v>
      </c>
      <c r="D353" s="32">
        <f t="shared" ref="D353" si="273">(B353/B352)-1</f>
        <v>-1.6600679030436272E-3</v>
      </c>
      <c r="E353" s="37">
        <v>2400000</v>
      </c>
      <c r="F353" s="46" t="s">
        <v>203</v>
      </c>
      <c r="G353" s="29" t="s">
        <v>3</v>
      </c>
      <c r="H353" s="44"/>
      <c r="N353" s="44"/>
    </row>
    <row r="354" spans="1:14" x14ac:dyDescent="0.3">
      <c r="A354" s="29" t="s">
        <v>194</v>
      </c>
      <c r="B354" s="30">
        <v>24104554594.90958</v>
      </c>
      <c r="C354" s="30">
        <f t="shared" ref="C354" si="274">B354-B353</f>
        <v>405202722.57888412</v>
      </c>
      <c r="D354" s="32">
        <f t="shared" ref="D354" si="275">(B354/B353)-1</f>
        <v>1.7097628861824088E-2</v>
      </c>
      <c r="E354" s="99"/>
      <c r="F354"/>
      <c r="G354"/>
      <c r="H354" s="44"/>
      <c r="N354" s="44"/>
    </row>
    <row r="355" spans="1:14" x14ac:dyDescent="0.3">
      <c r="A355" s="29" t="s">
        <v>195</v>
      </c>
      <c r="B355" s="30">
        <v>24166362925.938976</v>
      </c>
      <c r="C355" s="30">
        <f t="shared" ref="C355" si="276">B355-B354</f>
        <v>61808331.029396057</v>
      </c>
      <c r="D355" s="32">
        <f t="shared" ref="D355" si="277">(B355/B354)-1</f>
        <v>2.5641764416775015E-3</v>
      </c>
      <c r="E355" s="99"/>
      <c r="F355"/>
      <c r="G355"/>
      <c r="H355" s="44"/>
      <c r="N355" s="44"/>
    </row>
    <row r="356" spans="1:14" x14ac:dyDescent="0.3">
      <c r="A356" s="29" t="s">
        <v>196</v>
      </c>
      <c r="B356" s="30">
        <v>23317769319.974876</v>
      </c>
      <c r="C356" s="30">
        <f t="shared" ref="C356" si="278">B356-B355</f>
        <v>-848593605.96409988</v>
      </c>
      <c r="D356" s="32">
        <f t="shared" ref="D356" si="279">(B356/B355)-1</f>
        <v>-3.5114659519296598E-2</v>
      </c>
      <c r="E356" s="99"/>
      <c r="F356"/>
      <c r="G356"/>
      <c r="H356" s="44"/>
      <c r="N356" s="44"/>
    </row>
    <row r="357" spans="1:14" x14ac:dyDescent="0.3">
      <c r="A357" s="29" t="s">
        <v>197</v>
      </c>
      <c r="B357" s="30">
        <v>23803707570.912979</v>
      </c>
      <c r="C357" s="30">
        <f t="shared" ref="C357" si="280">B357-B356</f>
        <v>485938250.93810272</v>
      </c>
      <c r="D357" s="32">
        <f t="shared" ref="D357" si="281">(B357/B356)-1</f>
        <v>2.0839825811375112E-2</v>
      </c>
      <c r="E357" s="99"/>
      <c r="F357"/>
      <c r="G357"/>
      <c r="H357" s="44"/>
      <c r="N357" s="44"/>
    </row>
    <row r="358" spans="1:14" x14ac:dyDescent="0.3">
      <c r="A358" s="29" t="s">
        <v>198</v>
      </c>
      <c r="B358" s="30">
        <v>24099351413.395878</v>
      </c>
      <c r="C358" s="30">
        <f t="shared" ref="C358" si="282">B358-B357</f>
        <v>295643842.48289871</v>
      </c>
      <c r="D358" s="32">
        <f t="shared" ref="D358" si="283">(B358/B357)-1</f>
        <v>1.2420075385406015E-2</v>
      </c>
      <c r="E358" s="99"/>
      <c r="F358"/>
      <c r="G358"/>
      <c r="H358" s="44"/>
      <c r="N358" s="44"/>
    </row>
    <row r="359" spans="1:14" x14ac:dyDescent="0.3">
      <c r="A359" s="29" t="s">
        <v>199</v>
      </c>
      <c r="B359" s="30">
        <v>24110574139.448402</v>
      </c>
      <c r="C359" s="30">
        <f t="shared" ref="C359" si="284">B359-B358</f>
        <v>11222726.052524567</v>
      </c>
      <c r="D359" s="32">
        <f t="shared" ref="D359" si="285">(B359/B358)-1</f>
        <v>4.6568581286732247E-4</v>
      </c>
      <c r="E359" s="37">
        <v>15000000</v>
      </c>
      <c r="F359" s="46" t="s">
        <v>203</v>
      </c>
      <c r="G359" s="29" t="s">
        <v>3</v>
      </c>
      <c r="H359" s="44"/>
      <c r="N359" s="44"/>
    </row>
    <row r="360" spans="1:14" x14ac:dyDescent="0.3">
      <c r="A360" s="29" t="s">
        <v>200</v>
      </c>
      <c r="B360" s="30">
        <v>24777595027.256432</v>
      </c>
      <c r="C360" s="30">
        <f t="shared" ref="C360" si="286">B360-B359</f>
        <v>667020887.80802917</v>
      </c>
      <c r="D360" s="32">
        <f t="shared" ref="D360" si="287">(B360/B359)-1</f>
        <v>2.766507690568365E-2</v>
      </c>
      <c r="E360" s="99"/>
      <c r="F360"/>
      <c r="G360"/>
      <c r="H360" s="44"/>
      <c r="N360" s="44"/>
    </row>
    <row r="361" spans="1:14" x14ac:dyDescent="0.3">
      <c r="A361" s="29" t="s">
        <v>201</v>
      </c>
      <c r="B361" s="30">
        <v>25187249675.87122</v>
      </c>
      <c r="C361" s="30">
        <f t="shared" ref="C361" si="288">B361-B360</f>
        <v>409654648.61478806</v>
      </c>
      <c r="D361" s="32">
        <f t="shared" ref="D361" si="289">(B361/B360)-1</f>
        <v>1.653326919598741E-2</v>
      </c>
      <c r="E361" s="99"/>
      <c r="F361"/>
      <c r="G361"/>
      <c r="H361" s="44"/>
      <c r="N361" s="44"/>
    </row>
    <row r="362" spans="1:14" x14ac:dyDescent="0.3">
      <c r="A362" s="29" t="s">
        <v>202</v>
      </c>
      <c r="B362" s="30">
        <v>25014830975.569973</v>
      </c>
      <c r="C362" s="30">
        <f t="shared" ref="C362" si="290">B362-B361</f>
        <v>-172418700.30124664</v>
      </c>
      <c r="D362" s="32">
        <f t="shared" ref="D362" si="291">(B362/B361)-1</f>
        <v>-6.8454754893869652E-3</v>
      </c>
      <c r="E362" s="99"/>
      <c r="F362"/>
      <c r="G362"/>
      <c r="H362" s="44"/>
      <c r="N362" s="44"/>
    </row>
    <row r="363" spans="1:14" x14ac:dyDescent="0.3">
      <c r="A363" s="29" t="s">
        <v>204</v>
      </c>
      <c r="B363" s="30">
        <v>24633320396</v>
      </c>
      <c r="C363" s="30">
        <f t="shared" ref="C363" si="292">B363-B362</f>
        <v>-381510579.56997299</v>
      </c>
      <c r="D363" s="32">
        <f t="shared" ref="D363" si="293">(B363/B362)-1</f>
        <v>-1.5251375471717732E-2</v>
      </c>
      <c r="E363" s="99"/>
      <c r="F363"/>
      <c r="G363"/>
      <c r="H363" s="44"/>
      <c r="N363" s="44"/>
    </row>
    <row r="364" spans="1:14" x14ac:dyDescent="0.3">
      <c r="A364" s="29" t="s">
        <v>205</v>
      </c>
      <c r="B364" s="30">
        <v>24572542686.617554</v>
      </c>
      <c r="C364" s="30">
        <f t="shared" ref="C364" si="294">B364-B363</f>
        <v>-60777709.382446289</v>
      </c>
      <c r="D364" s="32">
        <f t="shared" ref="D364" si="295">(B364/B363)-1</f>
        <v>-2.4672966699330612E-3</v>
      </c>
      <c r="E364" s="99"/>
      <c r="F364"/>
      <c r="G364"/>
      <c r="H364" s="44"/>
      <c r="N364" s="44"/>
    </row>
    <row r="365" spans="1:14" x14ac:dyDescent="0.3">
      <c r="A365" s="29" t="s">
        <v>206</v>
      </c>
      <c r="B365" s="30">
        <v>24936008591.05312</v>
      </c>
      <c r="C365" s="30">
        <f t="shared" ref="C365" si="296">B365-B364</f>
        <v>363465904.43556595</v>
      </c>
      <c r="D365" s="32">
        <f t="shared" ref="D365" si="297">(B365/B364)-1</f>
        <v>1.4791546364207209E-2</v>
      </c>
      <c r="E365" s="99"/>
      <c r="F365"/>
      <c r="G365"/>
      <c r="H365" s="44"/>
      <c r="N365" s="44"/>
    </row>
    <row r="366" spans="1:14" x14ac:dyDescent="0.3">
      <c r="A366" s="29" t="s">
        <v>207</v>
      </c>
      <c r="B366" s="30">
        <v>24997537989.781982</v>
      </c>
      <c r="C366" s="30">
        <f t="shared" ref="C366" si="298">B366-B365</f>
        <v>61529398.728862762</v>
      </c>
      <c r="D366" s="32">
        <f t="shared" ref="D366" si="299">(B366/B365)-1</f>
        <v>2.4674918804343804E-3</v>
      </c>
      <c r="E366" s="37">
        <v>9407000</v>
      </c>
      <c r="F366" s="40" t="s">
        <v>182</v>
      </c>
      <c r="G366" s="29" t="s">
        <v>222</v>
      </c>
      <c r="H366" s="44"/>
      <c r="N366" s="44"/>
    </row>
    <row r="367" spans="1:14" x14ac:dyDescent="0.3">
      <c r="A367" s="29" t="s">
        <v>208</v>
      </c>
      <c r="B367" s="30">
        <v>25188281931.528912</v>
      </c>
      <c r="C367" s="30">
        <f t="shared" ref="C367" si="300">B367-B366</f>
        <v>190743941.74692917</v>
      </c>
      <c r="D367" s="32">
        <f t="shared" ref="D367" si="301">(B367/B366)-1</f>
        <v>7.6305091255346458E-3</v>
      </c>
      <c r="E367" s="37">
        <v>5500000</v>
      </c>
      <c r="F367" s="46" t="s">
        <v>203</v>
      </c>
      <c r="G367" s="29" t="s">
        <v>4</v>
      </c>
      <c r="H367" s="44"/>
      <c r="N367" s="44"/>
    </row>
    <row r="368" spans="1:14" x14ac:dyDescent="0.3">
      <c r="A368" s="29" t="s">
        <v>209</v>
      </c>
      <c r="B368" s="30">
        <v>25195148049</v>
      </c>
      <c r="C368" s="30">
        <f t="shared" ref="C368:C369" si="302">B368-B367</f>
        <v>6866117.4710884094</v>
      </c>
      <c r="D368" s="32">
        <f t="shared" ref="D368:D369" si="303">(B368/B367)-1</f>
        <v>2.7259173490890021E-4</v>
      </c>
      <c r="E368" s="99"/>
      <c r="F368"/>
      <c r="G368"/>
      <c r="H368" s="44"/>
      <c r="N368" s="44"/>
    </row>
    <row r="369" spans="1:14" x14ac:dyDescent="0.3">
      <c r="A369" s="29" t="s">
        <v>224</v>
      </c>
      <c r="B369" s="30">
        <v>25482459553.990246</v>
      </c>
      <c r="C369" s="30">
        <f t="shared" si="302"/>
        <v>287311504.99024582</v>
      </c>
      <c r="D369" s="32">
        <f t="shared" si="303"/>
        <v>1.1403445791684952E-2</v>
      </c>
      <c r="E369" s="99"/>
      <c r="F369"/>
      <c r="G369"/>
      <c r="H369" s="44"/>
      <c r="N369" s="44"/>
    </row>
    <row r="370" spans="1:14" x14ac:dyDescent="0.3">
      <c r="A370" s="29" t="s">
        <v>210</v>
      </c>
      <c r="B370" s="30">
        <v>26240597512.438595</v>
      </c>
      <c r="C370" s="30">
        <f t="shared" ref="C370" si="304">B370-B369</f>
        <v>758137958.448349</v>
      </c>
      <c r="D370" s="32">
        <f t="shared" ref="D370" si="305">(B370/B369)-1</f>
        <v>2.9751365124000895E-2</v>
      </c>
      <c r="E370" s="99"/>
      <c r="F370"/>
      <c r="G370"/>
      <c r="H370" s="44"/>
      <c r="N370" s="44"/>
    </row>
    <row r="371" spans="1:14" x14ac:dyDescent="0.3">
      <c r="A371" s="29" t="s">
        <v>211</v>
      </c>
      <c r="B371" s="30">
        <v>25778349201.331284</v>
      </c>
      <c r="C371" s="30">
        <f t="shared" ref="C371" si="306">B371-B370</f>
        <v>-462248311.10731125</v>
      </c>
      <c r="D371" s="32">
        <f t="shared" ref="D371" si="307">(B371/B370)-1</f>
        <v>-1.7615769263188308E-2</v>
      </c>
      <c r="E371" s="37">
        <v>400000000</v>
      </c>
      <c r="F371" s="46" t="s">
        <v>203</v>
      </c>
      <c r="G371" s="29" t="s">
        <v>225</v>
      </c>
      <c r="H371" s="44"/>
      <c r="N371" s="44"/>
    </row>
    <row r="372" spans="1:14" x14ac:dyDescent="0.3">
      <c r="A372" s="29" t="s">
        <v>212</v>
      </c>
      <c r="B372" s="30">
        <v>25215899584.454132</v>
      </c>
      <c r="C372" s="30">
        <f t="shared" ref="C372" si="308">B372-B371</f>
        <v>-562449616.87715149</v>
      </c>
      <c r="D372" s="32">
        <f t="shared" ref="D372" si="309">(B372/B371)-1</f>
        <v>-2.1818682510829857E-2</v>
      </c>
      <c r="E372" s="99"/>
      <c r="F372"/>
      <c r="G372"/>
      <c r="H372" s="44"/>
      <c r="N372" s="44"/>
    </row>
    <row r="373" spans="1:14" x14ac:dyDescent="0.3">
      <c r="A373" s="29" t="s">
        <v>213</v>
      </c>
      <c r="B373" s="30">
        <v>25157984438.758163</v>
      </c>
      <c r="C373" s="30">
        <f t="shared" ref="C373" si="310">B373-B372</f>
        <v>-57915145.695968628</v>
      </c>
      <c r="D373" s="32">
        <f t="shared" ref="D373" si="311">(B373/B372)-1</f>
        <v>-2.2967709520731461E-3</v>
      </c>
      <c r="E373" s="99"/>
      <c r="F373"/>
      <c r="G373"/>
      <c r="H373" s="44"/>
      <c r="N373" s="44"/>
    </row>
    <row r="374" spans="1:14" x14ac:dyDescent="0.3">
      <c r="A374" s="29" t="s">
        <v>214</v>
      </c>
      <c r="B374" s="30">
        <v>25774638523.283901</v>
      </c>
      <c r="C374" s="30">
        <f t="shared" ref="C374" si="312">B374-B373</f>
        <v>616654084.52573776</v>
      </c>
      <c r="D374" s="32">
        <f t="shared" ref="D374" si="313">(B374/B373)-1</f>
        <v>2.451126742791554E-2</v>
      </c>
      <c r="E374" s="99"/>
      <c r="F374"/>
      <c r="G374"/>
      <c r="H374" s="44"/>
      <c r="N374" s="44"/>
    </row>
    <row r="375" spans="1:14" x14ac:dyDescent="0.3">
      <c r="A375" s="29" t="s">
        <v>215</v>
      </c>
      <c r="B375" s="30">
        <v>26382999131.593189</v>
      </c>
      <c r="C375" s="30">
        <f t="shared" ref="C375" si="314">B375-B374</f>
        <v>608360608.30928802</v>
      </c>
      <c r="D375" s="32">
        <f t="shared" ref="D375" si="315">(B375/B374)-1</f>
        <v>2.3603070427533401E-2</v>
      </c>
      <c r="E375" s="37">
        <v>5500000</v>
      </c>
      <c r="F375" s="40" t="s">
        <v>182</v>
      </c>
      <c r="G375" s="29" t="s">
        <v>4</v>
      </c>
      <c r="H375" s="44"/>
      <c r="N375" s="44"/>
    </row>
    <row r="376" spans="1:14" x14ac:dyDescent="0.3">
      <c r="A376" s="29" t="s">
        <v>216</v>
      </c>
      <c r="B376" s="30">
        <v>26039468447.234863</v>
      </c>
      <c r="C376" s="30">
        <f t="shared" ref="C376:C377" si="316">B376-B375</f>
        <v>-343530684.35832596</v>
      </c>
      <c r="D376" s="32">
        <f t="shared" ref="D376:D377" si="317">(B376/B375)-1</f>
        <v>-1.3020911028532534E-2</v>
      </c>
      <c r="E376" s="37"/>
      <c r="F376" s="37"/>
      <c r="G376"/>
      <c r="H376" s="44"/>
      <c r="N376" s="44"/>
    </row>
    <row r="377" spans="1:14" x14ac:dyDescent="0.3">
      <c r="A377" s="29" t="s">
        <v>217</v>
      </c>
      <c r="B377" s="30">
        <v>26164753094.334351</v>
      </c>
      <c r="C377" s="30">
        <f t="shared" si="316"/>
        <v>125284647.0994873</v>
      </c>
      <c r="D377" s="32">
        <f t="shared" si="317"/>
        <v>4.8113365813653441E-3</v>
      </c>
      <c r="E377" s="37">
        <v>17767000</v>
      </c>
      <c r="F377" s="40" t="s">
        <v>182</v>
      </c>
      <c r="G377" s="29" t="s">
        <v>226</v>
      </c>
      <c r="H377" s="44"/>
      <c r="N377" s="44"/>
    </row>
    <row r="378" spans="1:14" x14ac:dyDescent="0.3">
      <c r="A378" s="29" t="s">
        <v>218</v>
      </c>
      <c r="B378" s="30">
        <v>26233117527.718098</v>
      </c>
      <c r="C378" s="30">
        <f t="shared" ref="C378" si="318">B378-B377</f>
        <v>68364433.383747101</v>
      </c>
      <c r="D378" s="32">
        <f t="shared" ref="D378" si="319">(B378/B377)-1</f>
        <v>2.612844582835061E-3</v>
      </c>
      <c r="E378" s="99"/>
      <c r="F378"/>
      <c r="G378"/>
      <c r="H378" s="44"/>
      <c r="N378" s="44"/>
    </row>
    <row r="379" spans="1:14" x14ac:dyDescent="0.3">
      <c r="A379" s="29" t="s">
        <v>219</v>
      </c>
      <c r="B379" s="30">
        <v>25513539783.62719</v>
      </c>
      <c r="C379" s="30">
        <f t="shared" ref="C379" si="320">B379-B378</f>
        <v>-719577744.09090805</v>
      </c>
      <c r="D379" s="32">
        <f t="shared" ref="D379" si="321">(B379/B378)-1</f>
        <v>-2.7430126950431899E-2</v>
      </c>
      <c r="E379" s="99"/>
      <c r="F379"/>
      <c r="G379"/>
      <c r="H379" s="44"/>
      <c r="N379" s="44"/>
    </row>
    <row r="380" spans="1:14" x14ac:dyDescent="0.3">
      <c r="A380" s="29" t="s">
        <v>220</v>
      </c>
      <c r="B380" s="30">
        <v>25225328851.527859</v>
      </c>
      <c r="C380" s="30">
        <f t="shared" ref="C380" si="322">B380-B379</f>
        <v>-288210932.0993309</v>
      </c>
      <c r="D380" s="32">
        <f t="shared" ref="D380" si="323">(B380/B379)-1</f>
        <v>-1.1296391427593422E-2</v>
      </c>
      <c r="E380" s="99"/>
      <c r="F380"/>
      <c r="G380"/>
      <c r="H380" s="44"/>
      <c r="N380" s="44"/>
    </row>
    <row r="381" spans="1:14" x14ac:dyDescent="0.3">
      <c r="A381" s="29" t="s">
        <v>221</v>
      </c>
      <c r="B381" s="30">
        <v>25253996967.348763</v>
      </c>
      <c r="C381" s="30">
        <f t="shared" ref="C381" si="324">B381-B380</f>
        <v>28668115.820903778</v>
      </c>
      <c r="D381" s="32">
        <f t="shared" ref="D381" si="325">(B381/B380)-1</f>
        <v>1.1364813513290439E-3</v>
      </c>
      <c r="E381" s="99"/>
      <c r="F381"/>
      <c r="G381"/>
      <c r="H381" s="44"/>
      <c r="N381" s="44"/>
    </row>
    <row r="382" spans="1:14" x14ac:dyDescent="0.3">
      <c r="A382" s="29" t="s">
        <v>227</v>
      </c>
      <c r="B382" s="30">
        <v>24760108710.991459</v>
      </c>
      <c r="C382" s="30">
        <f t="shared" ref="C382" si="326">B382-B381</f>
        <v>-493888256.35730362</v>
      </c>
      <c r="D382" s="32">
        <f t="shared" ref="D382" si="327">(B382/B381)-1</f>
        <v>-1.9556835181213428E-2</v>
      </c>
      <c r="E382" s="99"/>
      <c r="F382"/>
      <c r="G382"/>
      <c r="H382" s="44"/>
      <c r="N382" s="44"/>
    </row>
    <row r="383" spans="1:14" x14ac:dyDescent="0.3">
      <c r="A383" s="29" t="s">
        <v>228</v>
      </c>
      <c r="B383" s="30">
        <v>25004550069.860737</v>
      </c>
      <c r="C383" s="30">
        <f t="shared" ref="C383" si="328">B383-B382</f>
        <v>244441358.86927795</v>
      </c>
      <c r="D383" s="32">
        <f t="shared" ref="D383" si="329">(B383/B382)-1</f>
        <v>9.8723863341021456E-3</v>
      </c>
      <c r="E383" s="99"/>
      <c r="F383"/>
      <c r="G383"/>
      <c r="H383" s="44"/>
      <c r="N383" s="44"/>
    </row>
    <row r="384" spans="1:14" x14ac:dyDescent="0.3">
      <c r="A384" s="29" t="s">
        <v>229</v>
      </c>
      <c r="B384" s="30">
        <v>25332038352.00098</v>
      </c>
      <c r="C384" s="30">
        <f t="shared" ref="C384" si="330">B384-B383</f>
        <v>327488282.14024353</v>
      </c>
      <c r="D384" s="32">
        <f t="shared" ref="D384" si="331">(B384/B383)-1</f>
        <v>1.3097147568153389E-2</v>
      </c>
      <c r="E384" s="99"/>
      <c r="F384"/>
      <c r="G384"/>
      <c r="H384" s="44"/>
      <c r="N384" s="44"/>
    </row>
    <row r="385" spans="1:14" x14ac:dyDescent="0.3">
      <c r="A385" s="29" t="s">
        <v>230</v>
      </c>
      <c r="B385" s="30">
        <v>25343895963.318233</v>
      </c>
      <c r="C385" s="30">
        <f t="shared" ref="C385" si="332">B385-B384</f>
        <v>11857611.317253113</v>
      </c>
      <c r="D385" s="32">
        <f t="shared" ref="D385" si="333">(B385/B384)-1</f>
        <v>4.6808753217897348E-4</v>
      </c>
      <c r="E385" s="99"/>
      <c r="F385"/>
      <c r="G385"/>
      <c r="H385" s="44"/>
      <c r="N385" s="44"/>
    </row>
    <row r="386" spans="1:14" x14ac:dyDescent="0.3">
      <c r="A386" s="29" t="s">
        <v>231</v>
      </c>
      <c r="B386" s="30">
        <v>25038698424.035004</v>
      </c>
      <c r="C386" s="30">
        <f t="shared" ref="C386" si="334">B386-B385</f>
        <v>-305197539.28322983</v>
      </c>
      <c r="D386" s="32">
        <f t="shared" ref="D386" si="335">(B386/B385)-1</f>
        <v>-1.2042250320351777E-2</v>
      </c>
      <c r="E386" s="99"/>
      <c r="F386"/>
      <c r="G386"/>
      <c r="H386" s="44"/>
      <c r="N386" s="44"/>
    </row>
    <row r="387" spans="1:14" x14ac:dyDescent="0.3">
      <c r="A387" s="29" t="s">
        <v>232</v>
      </c>
      <c r="B387" s="30">
        <v>25161127126.031963</v>
      </c>
      <c r="C387" s="30">
        <f t="shared" ref="C387" si="336">B387-B386</f>
        <v>122428701.99695969</v>
      </c>
      <c r="D387" s="32">
        <f t="shared" ref="D387" si="337">(B387/B386)-1</f>
        <v>4.889579319324211E-3</v>
      </c>
      <c r="E387" s="99"/>
      <c r="F387"/>
      <c r="G387"/>
      <c r="H387" s="44"/>
      <c r="N387" s="44"/>
    </row>
    <row r="388" spans="1:14" x14ac:dyDescent="0.3">
      <c r="A388" s="29" t="s">
        <v>233</v>
      </c>
      <c r="B388" s="30">
        <v>25367486839.326649</v>
      </c>
      <c r="C388" s="30">
        <f t="shared" ref="C388" si="338">B388-B387</f>
        <v>206359713.29468536</v>
      </c>
      <c r="D388" s="32">
        <f t="shared" ref="D388" si="339">(B388/B387)-1</f>
        <v>8.2015289800425606E-3</v>
      </c>
      <c r="E388" s="37">
        <v>100000000</v>
      </c>
      <c r="F388" s="46" t="s">
        <v>203</v>
      </c>
      <c r="G388" s="29" t="s">
        <v>3</v>
      </c>
      <c r="H388" s="44"/>
      <c r="N388" s="44"/>
    </row>
    <row r="389" spans="1:14" x14ac:dyDescent="0.3">
      <c r="A389" s="29" t="s">
        <v>234</v>
      </c>
      <c r="B389" s="30">
        <v>25207675357.217602</v>
      </c>
      <c r="C389" s="30">
        <f t="shared" ref="C389" si="340">B389-B388</f>
        <v>-159811482.10904694</v>
      </c>
      <c r="D389" s="32">
        <f t="shared" ref="D389" si="341">(B389/B388)-1</f>
        <v>-6.2998547361536872E-3</v>
      </c>
      <c r="E389" s="37">
        <v>23730135</v>
      </c>
      <c r="F389" s="46" t="s">
        <v>203</v>
      </c>
      <c r="G389" s="29" t="s">
        <v>249</v>
      </c>
      <c r="H389" s="44"/>
      <c r="N389" s="44"/>
    </row>
    <row r="390" spans="1:14" x14ac:dyDescent="0.3">
      <c r="A390" s="29" t="s">
        <v>235</v>
      </c>
      <c r="B390" s="30">
        <v>23942727071.283585</v>
      </c>
      <c r="C390" s="30">
        <f t="shared" ref="C390" si="342">B390-B389</f>
        <v>-1264948285.9340172</v>
      </c>
      <c r="D390" s="32">
        <f t="shared" ref="D390" si="343">(B390/B389)-1</f>
        <v>-5.0181076517705536E-2</v>
      </c>
      <c r="E390" s="37">
        <v>473180000</v>
      </c>
      <c r="F390" s="46" t="s">
        <v>203</v>
      </c>
      <c r="G390" s="29" t="s">
        <v>250</v>
      </c>
      <c r="H390" s="44"/>
      <c r="N390" s="44"/>
    </row>
    <row r="391" spans="1:14" x14ac:dyDescent="0.3">
      <c r="A391" s="29" t="s">
        <v>236</v>
      </c>
      <c r="B391" s="30">
        <v>24010964952.623875</v>
      </c>
      <c r="C391" s="30">
        <f t="shared" ref="C391" si="344">B391-B390</f>
        <v>68237881.34029007</v>
      </c>
      <c r="D391" s="32">
        <f t="shared" ref="D391" si="345">(B391/B390)-1</f>
        <v>2.8500463266831755E-3</v>
      </c>
      <c r="E391" s="99"/>
      <c r="F391"/>
      <c r="G391"/>
      <c r="H391" s="44"/>
      <c r="N391" s="44"/>
    </row>
    <row r="392" spans="1:14" x14ac:dyDescent="0.3">
      <c r="A392" s="29" t="s">
        <v>237</v>
      </c>
      <c r="B392" s="30">
        <v>24153998670.746193</v>
      </c>
      <c r="C392" s="30">
        <f t="shared" ref="C392" si="346">B392-B391</f>
        <v>143033718.12231827</v>
      </c>
      <c r="D392" s="32">
        <f t="shared" ref="D392" si="347">(B392/B391)-1</f>
        <v>5.957016654871472E-3</v>
      </c>
      <c r="E392" s="99"/>
      <c r="F392"/>
      <c r="G392"/>
      <c r="H392" s="44"/>
      <c r="N392" s="44"/>
    </row>
    <row r="393" spans="1:14" x14ac:dyDescent="0.3">
      <c r="A393" s="29" t="s">
        <v>238</v>
      </c>
      <c r="B393" s="30">
        <v>24094757388.299381</v>
      </c>
      <c r="C393" s="30">
        <f t="shared" ref="C393" si="348">B393-B392</f>
        <v>-59241282.446811676</v>
      </c>
      <c r="D393" s="32">
        <f t="shared" ref="D393" si="349">(B393/B392)-1</f>
        <v>-2.4526490729074313E-3</v>
      </c>
      <c r="E393" s="99"/>
      <c r="F393"/>
      <c r="G393"/>
      <c r="H393" s="44"/>
      <c r="N393" s="44"/>
    </row>
    <row r="394" spans="1:14" x14ac:dyDescent="0.3">
      <c r="A394" s="29" t="s">
        <v>239</v>
      </c>
      <c r="B394" s="30">
        <v>24794328989.435795</v>
      </c>
      <c r="C394" s="30">
        <f t="shared" ref="C394" si="350">B394-B393</f>
        <v>699571601.13641357</v>
      </c>
      <c r="D394" s="32">
        <f t="shared" ref="D394" si="351">(B394/B393)-1</f>
        <v>2.9034183240049138E-2</v>
      </c>
      <c r="E394" s="37">
        <v>6232000</v>
      </c>
      <c r="F394" s="46" t="s">
        <v>203</v>
      </c>
      <c r="G394" s="29" t="s">
        <v>251</v>
      </c>
      <c r="H394" s="44"/>
      <c r="N394" s="44"/>
    </row>
    <row r="395" spans="1:14" x14ac:dyDescent="0.3">
      <c r="A395" s="29" t="s">
        <v>240</v>
      </c>
      <c r="B395" s="30">
        <v>25556507024.978115</v>
      </c>
      <c r="C395" s="30">
        <f t="shared" ref="C395" si="352">B395-B394</f>
        <v>762178035.54232025</v>
      </c>
      <c r="D395" s="32">
        <f t="shared" ref="D395" si="353">(B395/B394)-1</f>
        <v>3.074001461653042E-2</v>
      </c>
      <c r="E395" s="99"/>
      <c r="F395"/>
      <c r="G395"/>
      <c r="H395" s="44"/>
      <c r="N395" s="44"/>
    </row>
    <row r="396" spans="1:14" x14ac:dyDescent="0.3">
      <c r="A396" s="29" t="s">
        <v>241</v>
      </c>
      <c r="B396" s="30">
        <v>25421004998.795773</v>
      </c>
      <c r="C396" s="30">
        <f t="shared" ref="C396" si="354">B396-B395</f>
        <v>-135502026.18234253</v>
      </c>
      <c r="D396" s="32">
        <f t="shared" ref="D396" si="355">(B396/B395)-1</f>
        <v>-5.3020557954147618E-3</v>
      </c>
      <c r="E396" s="99"/>
      <c r="F396"/>
      <c r="G396"/>
      <c r="H396" s="44"/>
      <c r="N396" s="44"/>
    </row>
    <row r="397" spans="1:14" x14ac:dyDescent="0.3">
      <c r="A397" s="29" t="s">
        <v>242</v>
      </c>
      <c r="B397" s="30">
        <v>25123189401.60342</v>
      </c>
      <c r="C397" s="30">
        <f t="shared" ref="C397" si="356">B397-B396</f>
        <v>-297815597.19235229</v>
      </c>
      <c r="D397" s="32">
        <f t="shared" ref="D397" si="357">(B397/B396)-1</f>
        <v>-1.1715335298760232E-2</v>
      </c>
      <c r="E397" s="99"/>
      <c r="F397"/>
      <c r="G397"/>
      <c r="H397" s="44"/>
      <c r="N397" s="44"/>
    </row>
    <row r="398" spans="1:14" x14ac:dyDescent="0.3">
      <c r="A398" s="29" t="s">
        <v>243</v>
      </c>
      <c r="B398" s="30">
        <v>25333976637.087845</v>
      </c>
      <c r="C398" s="30">
        <f t="shared" ref="C398" si="358">B398-B397</f>
        <v>210787235.48442459</v>
      </c>
      <c r="D398" s="32">
        <f t="shared" ref="D398" si="359">(B398/B397)-1</f>
        <v>8.3901463351214733E-3</v>
      </c>
      <c r="E398" s="99"/>
      <c r="F398"/>
      <c r="G398"/>
      <c r="H398" s="44"/>
      <c r="N398" s="44"/>
    </row>
    <row r="399" spans="1:14" x14ac:dyDescent="0.3">
      <c r="A399" s="29" t="s">
        <v>244</v>
      </c>
      <c r="B399" s="30">
        <v>25228878171.641258</v>
      </c>
      <c r="C399" s="30">
        <f t="shared" ref="C399" si="360">B399-B398</f>
        <v>-105098465.44658661</v>
      </c>
      <c r="D399" s="32">
        <f t="shared" ref="D399" si="361">(B399/B398)-1</f>
        <v>-4.1485182903630013E-3</v>
      </c>
      <c r="E399" s="99"/>
      <c r="F399"/>
      <c r="G399"/>
      <c r="H399" s="44"/>
      <c r="N399" s="44"/>
    </row>
    <row r="400" spans="1:14" x14ac:dyDescent="0.3">
      <c r="A400" s="29" t="s">
        <v>245</v>
      </c>
      <c r="B400" s="30">
        <v>25226491576.752274</v>
      </c>
      <c r="C400" s="30">
        <f t="shared" ref="C400" si="362">B400-B399</f>
        <v>-2386594.8889846802</v>
      </c>
      <c r="D400" s="32">
        <f t="shared" ref="D400" si="363">(B400/B399)-1</f>
        <v>-9.4597741237212318E-5</v>
      </c>
      <c r="E400" s="99"/>
      <c r="F400"/>
      <c r="G400"/>
      <c r="H400" s="44"/>
      <c r="N400" s="44"/>
    </row>
    <row r="401" spans="1:14" x14ac:dyDescent="0.3">
      <c r="A401" s="29" t="s">
        <v>246</v>
      </c>
      <c r="B401" s="30">
        <v>25058106149.581825</v>
      </c>
      <c r="C401" s="30">
        <f t="shared" ref="C401" si="364">B401-B400</f>
        <v>-168385427.1704483</v>
      </c>
      <c r="D401" s="32">
        <f t="shared" ref="D401" si="365">(B401/B400)-1</f>
        <v>-6.6749443400851982E-3</v>
      </c>
      <c r="E401" s="99"/>
      <c r="F401"/>
      <c r="G401"/>
      <c r="H401" s="44"/>
      <c r="N401" s="44"/>
    </row>
    <row r="402" spans="1:14" x14ac:dyDescent="0.3">
      <c r="A402" s="29" t="s">
        <v>247</v>
      </c>
      <c r="B402" s="30">
        <v>24984413078.338554</v>
      </c>
      <c r="C402" s="30">
        <f t="shared" ref="C402" si="366">B402-B401</f>
        <v>-73693071.243270874</v>
      </c>
      <c r="D402" s="32">
        <f t="shared" ref="D402" si="367">(B402/B401)-1</f>
        <v>-2.9408875037629789E-3</v>
      </c>
      <c r="E402" s="99"/>
      <c r="F402"/>
      <c r="G402"/>
      <c r="H402" s="44"/>
      <c r="N402" s="44"/>
    </row>
    <row r="403" spans="1:14" x14ac:dyDescent="0.3">
      <c r="A403" s="29" t="s">
        <v>248</v>
      </c>
      <c r="B403" s="30">
        <v>24746536869.691296</v>
      </c>
      <c r="C403" s="30">
        <f t="shared" ref="C403" si="368">B403-B402</f>
        <v>-237876208.64725876</v>
      </c>
      <c r="D403" s="32">
        <f t="shared" ref="D403" si="369">(B403/B402)-1</f>
        <v>-9.520984459446713E-3</v>
      </c>
      <c r="E403" s="99"/>
      <c r="F403"/>
      <c r="G403"/>
      <c r="H403" s="44"/>
      <c r="N403" s="44"/>
    </row>
    <row r="404" spans="1:14" x14ac:dyDescent="0.3">
      <c r="A404" s="29" t="s">
        <v>254</v>
      </c>
      <c r="B404" s="30">
        <v>24315840465.397675</v>
      </c>
      <c r="C404" s="30">
        <f t="shared" ref="C404" si="370">B404-B403</f>
        <v>-430696404.29362106</v>
      </c>
      <c r="D404" s="32">
        <f t="shared" ref="D404" si="371">(B404/B403)-1</f>
        <v>-1.7404310209608531E-2</v>
      </c>
      <c r="E404" s="99"/>
      <c r="F404"/>
      <c r="G404"/>
      <c r="H404" s="44"/>
      <c r="N404" s="44"/>
    </row>
    <row r="405" spans="1:14" x14ac:dyDescent="0.3">
      <c r="A405" s="29" t="s">
        <v>252</v>
      </c>
      <c r="B405" s="30">
        <v>24398184022.929764</v>
      </c>
      <c r="C405" s="30">
        <f t="shared" ref="C405" si="372">B405-B404</f>
        <v>82343557.532089233</v>
      </c>
      <c r="D405" s="32">
        <f t="shared" ref="D405" si="373">(B405/B404)-1</f>
        <v>3.3864162601850989E-3</v>
      </c>
      <c r="E405" s="37">
        <v>107000000</v>
      </c>
      <c r="F405" s="46" t="s">
        <v>203</v>
      </c>
      <c r="G405" s="29" t="s">
        <v>268</v>
      </c>
      <c r="H405" s="44"/>
      <c r="N405" s="44"/>
    </row>
    <row r="406" spans="1:14" x14ac:dyDescent="0.3">
      <c r="A406" s="29" t="s">
        <v>255</v>
      </c>
      <c r="B406" s="30">
        <v>24828303288.39151</v>
      </c>
      <c r="C406" s="30">
        <f t="shared" ref="C406" si="374">B406-B405</f>
        <v>430119265.46174622</v>
      </c>
      <c r="D406" s="32">
        <f t="shared" ref="D406" si="375">(B406/B405)-1</f>
        <v>1.7629150803089022E-2</v>
      </c>
      <c r="E406" s="99"/>
      <c r="F406"/>
      <c r="G406"/>
      <c r="H406" s="44"/>
      <c r="N406" s="44"/>
    </row>
    <row r="407" spans="1:14" x14ac:dyDescent="0.3">
      <c r="A407" s="29" t="s">
        <v>256</v>
      </c>
      <c r="B407" s="30">
        <v>24686342810.0196</v>
      </c>
      <c r="C407" s="30">
        <f t="shared" ref="C407" si="376">B407-B406</f>
        <v>-141960478.3719101</v>
      </c>
      <c r="D407" s="32">
        <f t="shared" ref="D407" si="377">(B407/B406)-1</f>
        <v>-5.7176874602737904E-3</v>
      </c>
      <c r="E407" s="99"/>
      <c r="F407"/>
      <c r="G407"/>
      <c r="H407" s="44"/>
      <c r="N407" s="44"/>
    </row>
    <row r="408" spans="1:14" x14ac:dyDescent="0.3">
      <c r="A408" s="29" t="s">
        <v>257</v>
      </c>
      <c r="B408" s="30">
        <v>24278289946.549564</v>
      </c>
      <c r="C408" s="30">
        <f t="shared" ref="C408" si="378">B408-B407</f>
        <v>-408052863.47003555</v>
      </c>
      <c r="D408" s="32">
        <f t="shared" ref="D408" si="379">(B408/B407)-1</f>
        <v>-1.6529498379339369E-2</v>
      </c>
      <c r="E408" s="99"/>
      <c r="F408"/>
      <c r="G408"/>
      <c r="H408" s="44"/>
      <c r="N408" s="44"/>
    </row>
    <row r="409" spans="1:14" x14ac:dyDescent="0.3">
      <c r="A409" s="29" t="s">
        <v>258</v>
      </c>
      <c r="B409" s="30">
        <v>24476766209</v>
      </c>
      <c r="C409" s="30">
        <f t="shared" ref="C409:C410" si="380">B409-B408</f>
        <v>198476262.45043564</v>
      </c>
      <c r="D409" s="32">
        <f t="shared" ref="D409:D410" si="381">(B409/B408)-1</f>
        <v>8.1750511624745226E-3</v>
      </c>
      <c r="E409" s="99"/>
      <c r="F409"/>
      <c r="G409"/>
      <c r="H409" s="44"/>
      <c r="N409" s="44"/>
    </row>
    <row r="410" spans="1:14" x14ac:dyDescent="0.3">
      <c r="A410" s="29" t="s">
        <v>259</v>
      </c>
      <c r="B410" s="30">
        <v>24566364563.45071</v>
      </c>
      <c r="C410" s="30">
        <f t="shared" si="380"/>
        <v>89598354.450710297</v>
      </c>
      <c r="D410" s="32">
        <f t="shared" si="381"/>
        <v>3.6605470545274521E-3</v>
      </c>
      <c r="E410" s="99"/>
      <c r="F410"/>
      <c r="G410"/>
      <c r="H410" s="44"/>
      <c r="N410" s="44"/>
    </row>
    <row r="411" spans="1:14" x14ac:dyDescent="0.3">
      <c r="A411" s="29" t="s">
        <v>260</v>
      </c>
      <c r="B411" s="30">
        <v>24926360773.752953</v>
      </c>
      <c r="C411" s="30">
        <f t="shared" ref="C411" si="382">B411-B410</f>
        <v>359996210.30224228</v>
      </c>
      <c r="D411" s="32">
        <f t="shared" ref="D411" si="383">(B411/B410)-1</f>
        <v>1.4654028656638785E-2</v>
      </c>
      <c r="E411" s="99"/>
      <c r="F411"/>
      <c r="G411"/>
      <c r="H411" s="44"/>
      <c r="N411" s="44"/>
    </row>
    <row r="412" spans="1:14" x14ac:dyDescent="0.3">
      <c r="A412" s="29" t="s">
        <v>253</v>
      </c>
      <c r="B412" s="30">
        <v>24790120023.965061</v>
      </c>
      <c r="C412" s="30">
        <f t="shared" ref="C412" si="384">B412-B411</f>
        <v>-136240749.78789139</v>
      </c>
      <c r="D412" s="32">
        <f t="shared" ref="D412" si="385">(B412/B411)-1</f>
        <v>-5.4657296756833729E-3</v>
      </c>
      <c r="E412" s="37">
        <v>70000000</v>
      </c>
      <c r="F412" s="46" t="s">
        <v>203</v>
      </c>
      <c r="G412" s="29" t="s">
        <v>269</v>
      </c>
      <c r="H412" s="44"/>
      <c r="N412" s="44"/>
    </row>
    <row r="413" spans="1:14" x14ac:dyDescent="0.3">
      <c r="A413" s="29" t="s">
        <v>261</v>
      </c>
      <c r="B413" s="30">
        <v>24809838037.240303</v>
      </c>
      <c r="C413" s="30">
        <f t="shared" ref="C413" si="386">B413-B412</f>
        <v>19718013.275241852</v>
      </c>
      <c r="D413" s="32">
        <f t="shared" ref="D413" si="387">(B413/B412)-1</f>
        <v>7.9539805600692404E-4</v>
      </c>
      <c r="E413" s="99"/>
      <c r="F413"/>
      <c r="G413"/>
      <c r="H413" s="44"/>
      <c r="N413" s="44"/>
    </row>
    <row r="414" spans="1:14" x14ac:dyDescent="0.3">
      <c r="A414" s="29" t="s">
        <v>262</v>
      </c>
      <c r="B414" s="30">
        <v>24381775011.161705</v>
      </c>
      <c r="C414" s="30">
        <f t="shared" ref="C414" si="388">B414-B413</f>
        <v>-428063026.07859802</v>
      </c>
      <c r="D414" s="32">
        <f t="shared" ref="D414" si="389">(B414/B413)-1</f>
        <v>-1.7253761408521195E-2</v>
      </c>
      <c r="E414" s="37">
        <v>148500000</v>
      </c>
      <c r="F414" s="46" t="s">
        <v>203</v>
      </c>
      <c r="G414" s="29" t="s">
        <v>269</v>
      </c>
      <c r="H414" s="44"/>
      <c r="N414" s="44"/>
    </row>
    <row r="415" spans="1:14" x14ac:dyDescent="0.3">
      <c r="A415" s="29" t="s">
        <v>263</v>
      </c>
      <c r="B415" s="30">
        <v>24346168236.545326</v>
      </c>
      <c r="C415" s="30">
        <f t="shared" ref="C415:C416" si="390">B415-B414</f>
        <v>-35606774.616378784</v>
      </c>
      <c r="D415" s="32">
        <f t="shared" ref="D415:D416" si="391">(B415/B414)-1</f>
        <v>-1.4603848407295228E-3</v>
      </c>
      <c r="E415" s="37">
        <v>80450000</v>
      </c>
      <c r="F415" s="46" t="s">
        <v>203</v>
      </c>
      <c r="G415" s="29" t="s">
        <v>6</v>
      </c>
      <c r="H415" s="45"/>
      <c r="N415" s="44"/>
    </row>
    <row r="416" spans="1:14" x14ac:dyDescent="0.3">
      <c r="A416" s="29" t="s">
        <v>264</v>
      </c>
      <c r="B416" s="30">
        <v>24483407243.632351</v>
      </c>
      <c r="C416" s="30">
        <f t="shared" si="390"/>
        <v>137239007.08702469</v>
      </c>
      <c r="D416" s="32">
        <f t="shared" si="391"/>
        <v>5.6369859007636691E-3</v>
      </c>
      <c r="E416" s="37">
        <v>550000000</v>
      </c>
      <c r="F416" s="46" t="s">
        <v>203</v>
      </c>
      <c r="G416" s="29" t="s">
        <v>269</v>
      </c>
      <c r="H416" s="45"/>
      <c r="N416" s="44"/>
    </row>
    <row r="417" spans="1:14" x14ac:dyDescent="0.3">
      <c r="A417" s="29" t="s">
        <v>265</v>
      </c>
      <c r="B417" s="30">
        <v>24533820478.493134</v>
      </c>
      <c r="C417" s="30">
        <f t="shared" ref="C417" si="392">B417-B416</f>
        <v>50413234.860782623</v>
      </c>
      <c r="D417" s="32">
        <f t="shared" ref="D417" si="393">(B417/B416)-1</f>
        <v>2.0590775768718483E-3</v>
      </c>
      <c r="E417" s="99"/>
      <c r="F417"/>
      <c r="G417"/>
      <c r="H417" s="44"/>
      <c r="N417" s="44"/>
    </row>
    <row r="418" spans="1:14" x14ac:dyDescent="0.3">
      <c r="A418" s="29" t="s">
        <v>266</v>
      </c>
      <c r="B418" s="30">
        <v>24167989273.676899</v>
      </c>
      <c r="C418" s="30">
        <f t="shared" ref="C418" si="394">B418-B417</f>
        <v>-365831204.81623459</v>
      </c>
      <c r="D418" s="32">
        <f t="shared" ref="D418" si="395">(B418/B417)-1</f>
        <v>-1.4911301936725629E-2</v>
      </c>
      <c r="E418" s="99"/>
      <c r="F418"/>
      <c r="G418"/>
      <c r="H418" s="44"/>
      <c r="N418" s="44"/>
    </row>
    <row r="419" spans="1:14" x14ac:dyDescent="0.3">
      <c r="A419" s="29" t="s">
        <v>267</v>
      </c>
      <c r="B419" s="30">
        <v>24537806490.412907</v>
      </c>
      <c r="C419" s="30">
        <f t="shared" ref="C419" si="396">B419-B418</f>
        <v>369817216.73600769</v>
      </c>
      <c r="D419" s="32">
        <f t="shared" ref="D419" si="397">(B419/B418)-1</f>
        <v>1.5301943928732298E-2</v>
      </c>
      <c r="E419" s="99"/>
      <c r="F419"/>
      <c r="G419"/>
      <c r="H419" s="44"/>
      <c r="N419" s="44"/>
    </row>
    <row r="420" spans="1:14" x14ac:dyDescent="0.3">
      <c r="A420" s="29" t="s">
        <v>274</v>
      </c>
      <c r="B420" s="30">
        <v>24961555173.377583</v>
      </c>
      <c r="C420" s="30">
        <f t="shared" ref="C420" si="398">B420-B419</f>
        <v>423748682.9646759</v>
      </c>
      <c r="D420" s="32">
        <f t="shared" ref="D420" si="399">(B420/B419)-1</f>
        <v>1.7269216102516749E-2</v>
      </c>
      <c r="E420" s="99"/>
      <c r="F420"/>
      <c r="G420"/>
      <c r="H420" s="44"/>
      <c r="N420" s="44"/>
    </row>
    <row r="421" spans="1:14" x14ac:dyDescent="0.3">
      <c r="A421" s="29" t="s">
        <v>275</v>
      </c>
      <c r="B421" s="30">
        <v>24257010457.051373</v>
      </c>
      <c r="C421" s="30">
        <f t="shared" ref="C421" si="400">B421-B420</f>
        <v>-704544716.32621002</v>
      </c>
      <c r="D421" s="32">
        <f t="shared" ref="D421" si="401">(B421/B420)-1</f>
        <v>-2.8225193159344242E-2</v>
      </c>
      <c r="E421" s="99"/>
      <c r="F421"/>
      <c r="G421"/>
      <c r="H421" s="44"/>
      <c r="N421" s="44"/>
    </row>
    <row r="422" spans="1:14" x14ac:dyDescent="0.3">
      <c r="A422" s="29" t="s">
        <v>276</v>
      </c>
      <c r="B422" s="30">
        <v>24417488786.785168</v>
      </c>
      <c r="C422" s="30">
        <f t="shared" ref="C422" si="402">B422-B421</f>
        <v>160478329.73379517</v>
      </c>
      <c r="D422" s="32">
        <f t="shared" ref="D422" si="403">(B422/B421)-1</f>
        <v>6.6157505277879558E-3</v>
      </c>
      <c r="E422" s="99"/>
      <c r="F422"/>
      <c r="G422"/>
      <c r="H422" s="44"/>
      <c r="N422" s="44"/>
    </row>
    <row r="423" spans="1:14" x14ac:dyDescent="0.3">
      <c r="A423" s="29" t="s">
        <v>278</v>
      </c>
      <c r="B423" s="30">
        <v>24472887222.663143</v>
      </c>
      <c r="C423" s="30">
        <f t="shared" ref="C423" si="404">B423-B422</f>
        <v>55398435.877975464</v>
      </c>
      <c r="D423" s="32">
        <f t="shared" ref="D423" si="405">(B423/B422)-1</f>
        <v>2.2688015283520713E-3</v>
      </c>
      <c r="E423" s="99"/>
      <c r="F423"/>
      <c r="G423"/>
      <c r="H423" s="44"/>
      <c r="N423" s="44"/>
    </row>
    <row r="424" spans="1:14" x14ac:dyDescent="0.3">
      <c r="A424" s="29" t="s">
        <v>279</v>
      </c>
      <c r="B424" s="30">
        <v>24302094536.595863</v>
      </c>
      <c r="C424" s="30">
        <f t="shared" ref="C424" si="406">B424-B423</f>
        <v>-170792686.06727982</v>
      </c>
      <c r="D424" s="32">
        <f t="shared" ref="D424" si="407">(B424/B423)-1</f>
        <v>-6.9788531493381045E-3</v>
      </c>
      <c r="E424" s="99"/>
      <c r="F424"/>
      <c r="G424"/>
      <c r="H424" s="44"/>
      <c r="N424" s="44"/>
    </row>
    <row r="425" spans="1:14" x14ac:dyDescent="0.3">
      <c r="A425" s="29" t="s">
        <v>280</v>
      </c>
      <c r="B425" s="30">
        <v>23906163044.175735</v>
      </c>
      <c r="C425" s="30">
        <f t="shared" ref="C425" si="408">B425-B424</f>
        <v>-395931492.42012787</v>
      </c>
      <c r="D425" s="32">
        <f t="shared" ref="D425" si="409">(B425/B424)-1</f>
        <v>-1.6292072760391352E-2</v>
      </c>
      <c r="E425" s="37">
        <v>10000000</v>
      </c>
      <c r="F425" s="40" t="s">
        <v>182</v>
      </c>
      <c r="G425" s="29" t="s">
        <v>5</v>
      </c>
      <c r="H425" s="44"/>
      <c r="N425" s="44"/>
    </row>
    <row r="426" spans="1:14" x14ac:dyDescent="0.3">
      <c r="A426" s="29" t="s">
        <v>277</v>
      </c>
      <c r="B426" s="30">
        <v>24044825899.123215</v>
      </c>
      <c r="C426" s="30">
        <f t="shared" ref="C426" si="410">B426-B425</f>
        <v>138662854.94747925</v>
      </c>
      <c r="D426" s="32">
        <f t="shared" ref="D426" si="411">(B426/B425)-1</f>
        <v>5.8002973831996485E-3</v>
      </c>
      <c r="E426" s="99"/>
      <c r="F426"/>
      <c r="G426"/>
      <c r="H426" s="44"/>
      <c r="N426" s="44"/>
    </row>
    <row r="427" spans="1:14" x14ac:dyDescent="0.3">
      <c r="A427" s="29" t="s">
        <v>281</v>
      </c>
      <c r="B427" s="30">
        <v>24089182988.069313</v>
      </c>
      <c r="C427" s="30">
        <f t="shared" ref="C427" si="412">B427-B426</f>
        <v>44357088.946098328</v>
      </c>
      <c r="D427" s="32">
        <f t="shared" ref="D427" si="413">(B427/B426)-1</f>
        <v>1.8447664845731016E-3</v>
      </c>
      <c r="E427" s="37">
        <v>10000000</v>
      </c>
      <c r="F427" s="40" t="s">
        <v>182</v>
      </c>
      <c r="G427" s="29" t="s">
        <v>294</v>
      </c>
      <c r="H427" s="44"/>
      <c r="N427" s="44"/>
    </row>
    <row r="428" spans="1:14" x14ac:dyDescent="0.3">
      <c r="A428" s="29" t="s">
        <v>282</v>
      </c>
      <c r="B428" s="30">
        <v>24235548912.000965</v>
      </c>
      <c r="C428" s="30">
        <f t="shared" ref="C428" si="414">B428-B427</f>
        <v>146365923.93165207</v>
      </c>
      <c r="D428" s="32">
        <f t="shared" ref="D428" si="415">(B428/B427)-1</f>
        <v>6.0760019965866441E-3</v>
      </c>
      <c r="E428" s="37">
        <v>49000000</v>
      </c>
      <c r="F428" s="40" t="s">
        <v>182</v>
      </c>
      <c r="G428" s="29" t="s">
        <v>6</v>
      </c>
      <c r="H428" s="44"/>
      <c r="N428" s="44"/>
    </row>
    <row r="429" spans="1:14" x14ac:dyDescent="0.3">
      <c r="A429" s="29" t="s">
        <v>283</v>
      </c>
      <c r="B429" s="30">
        <v>24073703040.639023</v>
      </c>
      <c r="C429" s="30">
        <f t="shared" ref="C429" si="416">B429-B428</f>
        <v>-161845871.36194229</v>
      </c>
      <c r="D429" s="32">
        <f t="shared" ref="D429" si="417">(B429/B428)-1</f>
        <v>-6.6780361340114114E-3</v>
      </c>
      <c r="E429" s="99"/>
      <c r="F429"/>
      <c r="G429"/>
      <c r="H429" s="44"/>
      <c r="N429" s="44"/>
    </row>
    <row r="430" spans="1:14" x14ac:dyDescent="0.3">
      <c r="A430" s="29" t="s">
        <v>284</v>
      </c>
      <c r="B430" s="30">
        <v>24003998631.151939</v>
      </c>
      <c r="C430" s="30">
        <f t="shared" ref="C430" si="418">B430-B429</f>
        <v>-69704409.487083435</v>
      </c>
      <c r="D430" s="32">
        <f t="shared" ref="D430" si="419">(B430/B429)-1</f>
        <v>-2.8954585578053749E-3</v>
      </c>
      <c r="E430" s="37">
        <v>150000000</v>
      </c>
      <c r="F430" s="40" t="s">
        <v>182</v>
      </c>
      <c r="G430" s="29" t="s">
        <v>6</v>
      </c>
      <c r="H430" s="44"/>
      <c r="N430" s="44"/>
    </row>
    <row r="431" spans="1:14" x14ac:dyDescent="0.3">
      <c r="A431" s="29" t="s">
        <v>285</v>
      </c>
      <c r="B431" s="30">
        <v>23737240748.536057</v>
      </c>
      <c r="C431" s="30">
        <f t="shared" ref="C431" si="420">B431-B430</f>
        <v>-266757882.61588287</v>
      </c>
      <c r="D431" s="32">
        <f t="shared" ref="D431" si="421">(B431/B430)-1</f>
        <v>-1.1113060232793459E-2</v>
      </c>
      <c r="E431" s="99"/>
      <c r="F431"/>
      <c r="G431"/>
      <c r="H431" s="44"/>
      <c r="N431" s="44"/>
    </row>
    <row r="432" spans="1:14" x14ac:dyDescent="0.3">
      <c r="A432" s="29" t="s">
        <v>286</v>
      </c>
      <c r="B432" s="30">
        <v>24066105248.080559</v>
      </c>
      <c r="C432" s="30">
        <f t="shared" ref="C432" si="422">B432-B431</f>
        <v>328864499.54450226</v>
      </c>
      <c r="D432" s="32">
        <f t="shared" ref="D432" si="423">(B432/B431)-1</f>
        <v>1.3854369302160219E-2</v>
      </c>
      <c r="E432" s="99"/>
      <c r="F432"/>
      <c r="G432"/>
      <c r="H432" s="44"/>
      <c r="N432" s="44"/>
    </row>
    <row r="433" spans="1:14" x14ac:dyDescent="0.3">
      <c r="A433" s="29" t="s">
        <v>287</v>
      </c>
      <c r="B433" s="30">
        <v>24010516491.709969</v>
      </c>
      <c r="C433" s="30">
        <f t="shared" ref="C433" si="424">B433-B432</f>
        <v>-55588756.37059021</v>
      </c>
      <c r="D433" s="32">
        <f t="shared" ref="D433" si="425">(B433/B432)-1</f>
        <v>-2.3098360036891696E-3</v>
      </c>
      <c r="E433" s="99"/>
      <c r="F433"/>
      <c r="G433"/>
      <c r="H433" s="44"/>
      <c r="N433" s="44"/>
    </row>
    <row r="434" spans="1:14" x14ac:dyDescent="0.3">
      <c r="A434" s="29" t="s">
        <v>288</v>
      </c>
      <c r="B434" s="30">
        <v>23924697212.553505</v>
      </c>
      <c r="C434" s="30">
        <f t="shared" ref="C434" si="426">B434-B433</f>
        <v>-85819279.156463623</v>
      </c>
      <c r="D434" s="32">
        <f t="shared" ref="D434" si="427">(B434/B433)-1</f>
        <v>-3.5742371133954398E-3</v>
      </c>
      <c r="E434" s="99"/>
      <c r="F434"/>
      <c r="G434"/>
      <c r="H434" s="44"/>
      <c r="N434" s="44"/>
    </row>
    <row r="435" spans="1:14" x14ac:dyDescent="0.3">
      <c r="A435" s="29" t="s">
        <v>289</v>
      </c>
      <c r="B435" s="30">
        <v>23542247483.562561</v>
      </c>
      <c r="C435" s="30">
        <f t="shared" ref="C435" si="428">B435-B434</f>
        <v>-382449728.99094391</v>
      </c>
      <c r="D435" s="32">
        <f t="shared" ref="D435" si="429">(B435/B434)-1</f>
        <v>-1.5985561931804448E-2</v>
      </c>
      <c r="E435" s="99"/>
      <c r="F435"/>
      <c r="G435"/>
      <c r="H435" s="44"/>
      <c r="N435" s="44"/>
    </row>
    <row r="436" spans="1:14" x14ac:dyDescent="0.3">
      <c r="A436" s="29" t="s">
        <v>271</v>
      </c>
      <c r="B436" s="30">
        <v>22972645472.875614</v>
      </c>
      <c r="C436" s="30">
        <f t="shared" ref="C436" si="430">B436-B435</f>
        <v>-569602010.68694687</v>
      </c>
      <c r="D436" s="32">
        <f t="shared" ref="D436" si="431">(B436/B435)-1</f>
        <v>-2.4194886706744967E-2</v>
      </c>
      <c r="E436" s="99"/>
      <c r="F436"/>
      <c r="G436"/>
      <c r="H436" s="44"/>
      <c r="N436" s="44"/>
    </row>
    <row r="437" spans="1:14" x14ac:dyDescent="0.3">
      <c r="A437" s="29" t="s">
        <v>290</v>
      </c>
      <c r="B437" s="30">
        <v>22941252663.444607</v>
      </c>
      <c r="C437" s="30">
        <f t="shared" ref="C437" si="432">B437-B436</f>
        <v>-31392809.431007385</v>
      </c>
      <c r="D437" s="32">
        <f t="shared" ref="D437" si="433">(B437/B436)-1</f>
        <v>-1.3665300092701171E-3</v>
      </c>
      <c r="E437" s="99"/>
      <c r="F437"/>
      <c r="G437"/>
      <c r="H437" s="44"/>
      <c r="N437" s="44"/>
    </row>
    <row r="438" spans="1:14" x14ac:dyDescent="0.3">
      <c r="A438" s="29" t="s">
        <v>291</v>
      </c>
      <c r="B438" s="30">
        <v>22845667463.52113</v>
      </c>
      <c r="C438" s="30">
        <f t="shared" ref="C438" si="434">B438-B437</f>
        <v>-95585199.923477173</v>
      </c>
      <c r="D438" s="32">
        <f t="shared" ref="D438" si="435">(B438/B437)-1</f>
        <v>-4.1665205176779629E-3</v>
      </c>
      <c r="E438" s="99"/>
      <c r="F438"/>
      <c r="G438"/>
      <c r="H438" s="44"/>
      <c r="N438" s="44"/>
    </row>
    <row r="439" spans="1:14" x14ac:dyDescent="0.3">
      <c r="A439" s="29" t="s">
        <v>292</v>
      </c>
      <c r="B439" s="30">
        <v>22739366769.649891</v>
      </c>
      <c r="C439" s="30">
        <f t="shared" ref="C439" si="436">B439-B438</f>
        <v>-106300693.87123871</v>
      </c>
      <c r="D439" s="32">
        <f t="shared" ref="D439" si="437">(B439/B438)-1</f>
        <v>-4.652991384076377E-3</v>
      </c>
      <c r="E439" s="37">
        <v>12000000</v>
      </c>
      <c r="F439" s="40" t="s">
        <v>182</v>
      </c>
      <c r="G439" s="29" t="s">
        <v>293</v>
      </c>
      <c r="H439" s="44"/>
      <c r="N439" s="44"/>
    </row>
    <row r="440" spans="1:14" x14ac:dyDescent="0.3">
      <c r="A440" s="29" t="s">
        <v>272</v>
      </c>
      <c r="B440" s="30">
        <v>22901515681.10696</v>
      </c>
      <c r="C440" s="30">
        <f t="shared" ref="C440" si="438">B440-B439</f>
        <v>162148911.4570694</v>
      </c>
      <c r="D440" s="32">
        <f t="shared" ref="D440" si="439">(B440/B439)-1</f>
        <v>7.1307575580112914E-3</v>
      </c>
      <c r="E440" s="37">
        <v>80000000</v>
      </c>
      <c r="F440" s="40" t="s">
        <v>182</v>
      </c>
      <c r="G440" s="29" t="s">
        <v>301</v>
      </c>
      <c r="H440" s="44"/>
      <c r="N440" s="44"/>
    </row>
    <row r="441" spans="1:14" x14ac:dyDescent="0.3">
      <c r="A441" s="29" t="s">
        <v>295</v>
      </c>
      <c r="B441" s="30">
        <v>23527833726.657856</v>
      </c>
      <c r="C441" s="30">
        <f t="shared" ref="C441" si="440">B441-B440</f>
        <v>626318045.55089569</v>
      </c>
      <c r="D441" s="32">
        <f t="shared" ref="D441" si="441">(B441/B440)-1</f>
        <v>2.7348322891466381E-2</v>
      </c>
      <c r="E441" s="99"/>
      <c r="F441"/>
      <c r="G441"/>
      <c r="H441" s="44"/>
      <c r="N441" s="44"/>
    </row>
    <row r="442" spans="1:14" x14ac:dyDescent="0.3">
      <c r="A442" s="29" t="s">
        <v>296</v>
      </c>
      <c r="B442" s="30">
        <v>23956316322.621014</v>
      </c>
      <c r="C442" s="30">
        <f t="shared" ref="C442" si="442">B442-B441</f>
        <v>428482595.96315765</v>
      </c>
      <c r="D442" s="32">
        <f t="shared" ref="D442" si="443">(B442/B441)-1</f>
        <v>1.8211731727671543E-2</v>
      </c>
      <c r="E442" s="99"/>
      <c r="F442"/>
      <c r="G442" s="29" t="s">
        <v>355</v>
      </c>
      <c r="H442" s="44"/>
      <c r="N442" s="44"/>
    </row>
    <row r="443" spans="1:14" x14ac:dyDescent="0.3">
      <c r="A443" s="29" t="s">
        <v>297</v>
      </c>
      <c r="B443" s="30">
        <v>23765555206.725685</v>
      </c>
      <c r="C443" s="30">
        <f t="shared" ref="C443" si="444">B443-B442</f>
        <v>-190761115.89532852</v>
      </c>
      <c r="D443" s="32">
        <f t="shared" ref="D443" si="445">(B443/B442)-1</f>
        <v>-7.9628734788077526E-3</v>
      </c>
      <c r="E443" s="99"/>
      <c r="F443"/>
      <c r="G443"/>
      <c r="H443" s="44"/>
      <c r="N443" s="44"/>
    </row>
    <row r="444" spans="1:14" x14ac:dyDescent="0.3">
      <c r="A444" s="29" t="s">
        <v>298</v>
      </c>
      <c r="B444" s="30">
        <v>23873822112.792145</v>
      </c>
      <c r="C444" s="30">
        <f t="shared" ref="C444" si="446">B444-B443</f>
        <v>108266906.06645966</v>
      </c>
      <c r="D444" s="32">
        <f t="shared" ref="D444" si="447">(B444/B443)-1</f>
        <v>4.5556228383765163E-3</v>
      </c>
      <c r="E444" s="99"/>
      <c r="F444"/>
      <c r="G444"/>
      <c r="H444" s="44"/>
      <c r="N444" s="44"/>
    </row>
    <row r="445" spans="1:14" x14ac:dyDescent="0.3">
      <c r="A445" s="29" t="s">
        <v>270</v>
      </c>
      <c r="B445" s="30">
        <v>23864469330.788639</v>
      </c>
      <c r="C445" s="30">
        <f t="shared" ref="C445" si="448">B445-B444</f>
        <v>-9352782.0035057068</v>
      </c>
      <c r="D445" s="32">
        <f t="shared" ref="D445" si="449">(B445/B444)-1</f>
        <v>-3.917588880121281E-4</v>
      </c>
      <c r="E445" s="99"/>
      <c r="F445"/>
      <c r="G445" s="29" t="s">
        <v>356</v>
      </c>
      <c r="H445" s="44"/>
      <c r="N445" s="44"/>
    </row>
    <row r="446" spans="1:14" x14ac:dyDescent="0.3">
      <c r="A446" s="29" t="s">
        <v>299</v>
      </c>
      <c r="B446" s="30">
        <v>23787268977.173592</v>
      </c>
      <c r="C446" s="30">
        <f t="shared" ref="C446" si="450">B446-B445</f>
        <v>-77200353.615047455</v>
      </c>
      <c r="D446" s="32">
        <f t="shared" ref="D446" si="451">(B446/B445)-1</f>
        <v>-3.2349495203501943E-3</v>
      </c>
      <c r="E446" s="99"/>
      <c r="F446"/>
      <c r="G446"/>
      <c r="H446" s="44"/>
      <c r="N446" s="44"/>
    </row>
    <row r="447" spans="1:14" x14ac:dyDescent="0.3">
      <c r="A447" s="29" t="s">
        <v>300</v>
      </c>
      <c r="B447" s="30">
        <v>23333865196.846241</v>
      </c>
      <c r="C447" s="30">
        <f t="shared" ref="C447" si="452">B447-B446</f>
        <v>-453403780.32735062</v>
      </c>
      <c r="D447" s="32">
        <f t="shared" ref="D447" si="453">(B447/B446)-1</f>
        <v>-1.9060774936477176E-2</v>
      </c>
      <c r="E447" s="99"/>
      <c r="F447"/>
      <c r="G447"/>
      <c r="H447" s="44"/>
      <c r="N447" s="44"/>
    </row>
    <row r="448" spans="1:14" x14ac:dyDescent="0.3">
      <c r="A448" s="29" t="s">
        <v>302</v>
      </c>
      <c r="B448" s="30">
        <v>23304285056.497047</v>
      </c>
      <c r="C448" s="30">
        <f t="shared" ref="C448" si="454">B448-B447</f>
        <v>-29580140.349193573</v>
      </c>
      <c r="D448" s="32">
        <f t="shared" ref="D448" si="455">(B448/B447)-1</f>
        <v>-1.2676914047310417E-3</v>
      </c>
      <c r="E448" s="99"/>
      <c r="F448"/>
      <c r="G448"/>
      <c r="H448" s="44"/>
      <c r="N448" s="44"/>
    </row>
    <row r="449" spans="1:14" x14ac:dyDescent="0.3">
      <c r="A449" s="29" t="s">
        <v>303</v>
      </c>
      <c r="B449" s="30">
        <v>23336652206.328117</v>
      </c>
      <c r="C449" s="30">
        <f t="shared" ref="C449" si="456">B449-B448</f>
        <v>32367149.831069946</v>
      </c>
      <c r="D449" s="32">
        <f t="shared" ref="D449" si="457">(B449/B448)-1</f>
        <v>1.3888926329472806E-3</v>
      </c>
      <c r="E449" s="99"/>
      <c r="F449"/>
      <c r="G449" s="29" t="s">
        <v>355</v>
      </c>
      <c r="H449" s="44"/>
      <c r="N449" s="44"/>
    </row>
    <row r="450" spans="1:14" x14ac:dyDescent="0.3">
      <c r="A450" s="29" t="s">
        <v>304</v>
      </c>
      <c r="B450" s="30">
        <v>23116843528.901253</v>
      </c>
      <c r="C450" s="30">
        <f t="shared" ref="C450" si="458">B450-B449</f>
        <v>-219808677.42686462</v>
      </c>
      <c r="D450" s="32">
        <f t="shared" ref="D450" si="459">(B450/B449)-1</f>
        <v>-9.4190321509466379E-3</v>
      </c>
      <c r="E450" s="99"/>
      <c r="F450"/>
      <c r="G450"/>
      <c r="H450" s="44"/>
      <c r="N450" s="44"/>
    </row>
    <row r="451" spans="1:14" x14ac:dyDescent="0.3">
      <c r="A451" s="29" t="s">
        <v>305</v>
      </c>
      <c r="B451" s="30">
        <v>22887841303.653458</v>
      </c>
      <c r="C451" s="30">
        <f t="shared" ref="C451" si="460">B451-B450</f>
        <v>-229002225.2477951</v>
      </c>
      <c r="D451" s="32">
        <f t="shared" ref="D451" si="461">(B451/B450)-1</f>
        <v>-9.9062930006638128E-3</v>
      </c>
      <c r="E451" s="99"/>
      <c r="F451"/>
      <c r="G451"/>
      <c r="H451" s="44"/>
      <c r="N451" s="44"/>
    </row>
    <row r="452" spans="1:14" x14ac:dyDescent="0.3">
      <c r="A452" s="29" t="s">
        <v>306</v>
      </c>
      <c r="B452" s="30">
        <v>22760099623.638115</v>
      </c>
      <c r="C452" s="30">
        <f t="shared" ref="C452" si="462">B452-B451</f>
        <v>-127741680.01534271</v>
      </c>
      <c r="D452" s="32">
        <f t="shared" ref="D452" si="463">(B452/B451)-1</f>
        <v>-5.58120262721995E-3</v>
      </c>
      <c r="E452" s="99"/>
      <c r="F452"/>
      <c r="G452"/>
      <c r="H452" s="44"/>
      <c r="N452" s="44"/>
    </row>
    <row r="453" spans="1:14" x14ac:dyDescent="0.3">
      <c r="A453" s="29" t="s">
        <v>273</v>
      </c>
      <c r="B453" s="30">
        <v>22782917745.418015</v>
      </c>
      <c r="C453" s="30">
        <f t="shared" ref="C453" si="464">B453-B452</f>
        <v>22818121.779899597</v>
      </c>
      <c r="D453" s="32">
        <f t="shared" ref="D453" si="465">(B453/B452)-1</f>
        <v>1.002549292719257E-3</v>
      </c>
      <c r="E453" s="99"/>
      <c r="F453"/>
      <c r="G453"/>
      <c r="H453" s="44"/>
      <c r="N453" s="44"/>
    </row>
    <row r="454" spans="1:14" x14ac:dyDescent="0.3">
      <c r="A454" s="29" t="s">
        <v>307</v>
      </c>
      <c r="B454" s="30">
        <v>22855805385.75095</v>
      </c>
      <c r="C454" s="30">
        <f t="shared" ref="C454" si="466">B454-B453</f>
        <v>72887640.332935333</v>
      </c>
      <c r="D454" s="32">
        <f t="shared" ref="D454" si="467">(B454/B453)-1</f>
        <v>3.1992232578548219E-3</v>
      </c>
      <c r="E454" s="99"/>
      <c r="F454"/>
      <c r="G454" s="29" t="s">
        <v>357</v>
      </c>
      <c r="H454" s="44"/>
      <c r="N454" s="44"/>
    </row>
    <row r="455" spans="1:14" x14ac:dyDescent="0.3">
      <c r="A455" s="29" t="s">
        <v>308</v>
      </c>
      <c r="B455" s="30">
        <v>22936221733.105415</v>
      </c>
      <c r="C455" s="30">
        <f t="shared" ref="C455" si="468">B455-B454</f>
        <v>80416347.354465485</v>
      </c>
      <c r="D455" s="32">
        <f t="shared" ref="D455" si="469">(B455/B454)-1</f>
        <v>3.5184210749623634E-3</v>
      </c>
      <c r="E455" s="99"/>
      <c r="F455"/>
      <c r="G455" s="29" t="s">
        <v>358</v>
      </c>
      <c r="H455" s="44"/>
      <c r="N455" s="44"/>
    </row>
    <row r="456" spans="1:14" x14ac:dyDescent="0.3">
      <c r="A456" s="29" t="s">
        <v>309</v>
      </c>
      <c r="B456" s="30">
        <v>22905949678.30439</v>
      </c>
      <c r="C456" s="30">
        <f t="shared" ref="C456" si="470">B456-B455</f>
        <v>-30272054.801025391</v>
      </c>
      <c r="D456" s="32">
        <f t="shared" ref="D456" si="471">(B456/B455)-1</f>
        <v>-1.3198361592978713E-3</v>
      </c>
      <c r="E456" s="99"/>
      <c r="F456"/>
      <c r="G456"/>
      <c r="H456" s="44"/>
      <c r="N456" s="44"/>
    </row>
    <row r="457" spans="1:14" x14ac:dyDescent="0.3">
      <c r="A457" s="29" t="s">
        <v>310</v>
      </c>
      <c r="B457" s="30">
        <v>22598617838.230022</v>
      </c>
      <c r="C457" s="30">
        <f t="shared" ref="C457" si="472">B457-B456</f>
        <v>-307331840.07436752</v>
      </c>
      <c r="D457" s="32">
        <f t="shared" ref="D457" si="473">(B457/B456)-1</f>
        <v>-1.3417118451345411E-2</v>
      </c>
      <c r="E457" s="99"/>
      <c r="F457"/>
      <c r="G457"/>
      <c r="H457" s="44"/>
      <c r="N457" s="44"/>
    </row>
    <row r="458" spans="1:14" x14ac:dyDescent="0.3">
      <c r="A458" s="29" t="s">
        <v>311</v>
      </c>
      <c r="B458" s="30">
        <v>22566314476.37352</v>
      </c>
      <c r="C458" s="30">
        <f t="shared" ref="C458" si="474">B458-B457</f>
        <v>-32303361.856502533</v>
      </c>
      <c r="D458" s="32">
        <f t="shared" ref="D458" si="475">(B458/B457)-1</f>
        <v>-1.4294397156384697E-3</v>
      </c>
      <c r="E458" s="99"/>
      <c r="F458"/>
      <c r="G458"/>
      <c r="H458" s="44"/>
      <c r="N458" s="44"/>
    </row>
    <row r="459" spans="1:14" x14ac:dyDescent="0.3">
      <c r="A459" s="29" t="s">
        <v>312</v>
      </c>
      <c r="B459" s="30">
        <v>22395020788</v>
      </c>
      <c r="C459" s="30">
        <f t="shared" ref="C459" si="476">B459-B458</f>
        <v>-171293688.3735199</v>
      </c>
      <c r="D459" s="32">
        <f t="shared" ref="D459" si="477">(B459/B458)-1</f>
        <v>-7.5906807269242593E-3</v>
      </c>
      <c r="E459" s="99"/>
      <c r="F459"/>
      <c r="G459"/>
      <c r="H459" s="44"/>
      <c r="N459" s="44"/>
    </row>
    <row r="460" spans="1:14" x14ac:dyDescent="0.3">
      <c r="A460" s="29" t="s">
        <v>313</v>
      </c>
      <c r="B460" s="30">
        <v>22290939777.28434</v>
      </c>
      <c r="C460" s="30">
        <f t="shared" ref="C460" si="478">B460-B459</f>
        <v>-104081010.7156601</v>
      </c>
      <c r="D460" s="32">
        <f t="shared" ref="D460" si="479">(B460/B459)-1</f>
        <v>-4.6475067695150862E-3</v>
      </c>
      <c r="E460" s="99"/>
      <c r="F460"/>
      <c r="G460"/>
      <c r="H460" s="44"/>
      <c r="N460" s="44"/>
    </row>
    <row r="461" spans="1:14" x14ac:dyDescent="0.3">
      <c r="A461" s="29" t="s">
        <v>314</v>
      </c>
      <c r="B461" s="30">
        <v>21969513713.584282</v>
      </c>
      <c r="C461" s="30">
        <f t="shared" ref="C461" si="480">B461-B460</f>
        <v>-321426063.70005798</v>
      </c>
      <c r="D461" s="32">
        <f t="shared" ref="D461" si="481">(B461/B460)-1</f>
        <v>-1.4419583333476482E-2</v>
      </c>
      <c r="E461" s="99"/>
      <c r="F461"/>
      <c r="G461"/>
      <c r="H461" s="44"/>
      <c r="N461" s="44"/>
    </row>
    <row r="462" spans="1:14" x14ac:dyDescent="0.3">
      <c r="A462" s="29" t="s">
        <v>315</v>
      </c>
      <c r="B462" s="30">
        <v>22059259138.823566</v>
      </c>
      <c r="C462" s="30">
        <f t="shared" ref="C462" si="482">B462-B461</f>
        <v>89745425.239284515</v>
      </c>
      <c r="D462" s="32">
        <f t="shared" ref="D462" si="483">(B462/B461)-1</f>
        <v>4.0849982575532628E-3</v>
      </c>
      <c r="E462" s="99"/>
      <c r="F462"/>
      <c r="G462"/>
      <c r="H462" s="44"/>
      <c r="N462" s="44"/>
    </row>
    <row r="463" spans="1:14" x14ac:dyDescent="0.3">
      <c r="A463" s="29" t="s">
        <v>316</v>
      </c>
      <c r="B463" s="30">
        <v>22588426596.373402</v>
      </c>
      <c r="C463" s="30">
        <f t="shared" ref="C463" si="484">B463-B462</f>
        <v>529167457.54983521</v>
      </c>
      <c r="D463" s="32">
        <f t="shared" ref="D463" si="485">(B463/B462)-1</f>
        <v>2.3988451027283864E-2</v>
      </c>
      <c r="E463" s="99"/>
      <c r="F463"/>
      <c r="G463" s="29" t="s">
        <v>355</v>
      </c>
      <c r="H463" s="44"/>
      <c r="N463" s="44"/>
    </row>
    <row r="464" spans="1:14" x14ac:dyDescent="0.3">
      <c r="A464" s="29" t="s">
        <v>317</v>
      </c>
      <c r="B464" s="30">
        <v>21867269170.827053</v>
      </c>
      <c r="C464" s="30">
        <f t="shared" ref="C464" si="486">B464-B463</f>
        <v>-721157425.54634857</v>
      </c>
      <c r="D464" s="32">
        <f t="shared" ref="D464" si="487">(B464/B463)-1</f>
        <v>-3.1925969808899057E-2</v>
      </c>
      <c r="E464" s="99"/>
      <c r="F464"/>
      <c r="G464"/>
      <c r="H464" s="44"/>
      <c r="N464" s="44"/>
    </row>
    <row r="465" spans="1:14" x14ac:dyDescent="0.3">
      <c r="A465" s="29" t="s">
        <v>318</v>
      </c>
      <c r="B465" s="30">
        <v>21729284347.28989</v>
      </c>
      <c r="C465" s="30">
        <f t="shared" ref="C465" si="488">B465-B464</f>
        <v>-137984823.53716278</v>
      </c>
      <c r="D465" s="32">
        <f t="shared" ref="D465" si="489">(B465/B464)-1</f>
        <v>-6.3101076983699267E-3</v>
      </c>
      <c r="E465" s="37">
        <v>15000000</v>
      </c>
      <c r="F465" s="40" t="s">
        <v>182</v>
      </c>
      <c r="G465" s="29" t="s">
        <v>4</v>
      </c>
      <c r="H465" s="44"/>
      <c r="N465" s="44"/>
    </row>
    <row r="466" spans="1:14" x14ac:dyDescent="0.3">
      <c r="A466" s="29" t="s">
        <v>319</v>
      </c>
      <c r="B466" s="30">
        <v>21732279419.830795</v>
      </c>
      <c r="C466" s="30">
        <f t="shared" ref="C466" si="490">B466-B465</f>
        <v>2995072.5409049988</v>
      </c>
      <c r="D466" s="32">
        <f t="shared" ref="D466" si="491">(B466/B465)-1</f>
        <v>1.3783576546000376E-4</v>
      </c>
      <c r="E466" s="99"/>
      <c r="F466"/>
      <c r="G466"/>
      <c r="H466" s="44"/>
      <c r="N466" s="44"/>
    </row>
    <row r="467" spans="1:14" x14ac:dyDescent="0.3">
      <c r="A467" s="29" t="s">
        <v>320</v>
      </c>
      <c r="B467" s="30">
        <v>21757010610.146267</v>
      </c>
      <c r="C467" s="30">
        <f t="shared" ref="C467" si="492">B467-B466</f>
        <v>24731190.315471649</v>
      </c>
      <c r="D467" s="32">
        <f t="shared" ref="D467" si="493">(B467/B466)-1</f>
        <v>1.1379933893591598E-3</v>
      </c>
      <c r="E467" s="99"/>
      <c r="F467"/>
      <c r="G467"/>
      <c r="H467" s="44"/>
      <c r="N467" s="44"/>
    </row>
    <row r="468" spans="1:14" x14ac:dyDescent="0.3">
      <c r="A468" s="29" t="s">
        <v>321</v>
      </c>
      <c r="B468" s="30">
        <v>22379845416.306919</v>
      </c>
      <c r="C468" s="30">
        <f t="shared" ref="C468" si="494">B468-B467</f>
        <v>622834806.16065216</v>
      </c>
      <c r="D468" s="32">
        <f t="shared" ref="D468" si="495">(B468/B467)-1</f>
        <v>2.8626855836076937E-2</v>
      </c>
      <c r="E468" s="99"/>
      <c r="F468"/>
      <c r="G468"/>
      <c r="H468" s="44"/>
      <c r="N468" s="44"/>
    </row>
    <row r="469" spans="1:14" x14ac:dyDescent="0.3">
      <c r="A469" s="29" t="s">
        <v>322</v>
      </c>
      <c r="B469" s="30">
        <v>22139942347.561615</v>
      </c>
      <c r="C469" s="30">
        <f t="shared" ref="C469" si="496">B469-B468</f>
        <v>-239903068.74530411</v>
      </c>
      <c r="D469" s="32">
        <f t="shared" ref="D469" si="497">(B469/B468)-1</f>
        <v>-1.0719603477265305E-2</v>
      </c>
      <c r="E469" s="99"/>
      <c r="F469"/>
      <c r="G469"/>
      <c r="H469" s="44"/>
      <c r="N469" s="44"/>
    </row>
    <row r="470" spans="1:14" x14ac:dyDescent="0.3">
      <c r="A470" s="29" t="s">
        <v>323</v>
      </c>
      <c r="B470" s="30">
        <v>22346970676.288773</v>
      </c>
      <c r="C470" s="30">
        <f t="shared" ref="C470" si="498">B470-B469</f>
        <v>207028328.72715759</v>
      </c>
      <c r="D470" s="32">
        <f t="shared" ref="D470" si="499">(B470/B469)-1</f>
        <v>9.350897372592204E-3</v>
      </c>
      <c r="E470" s="99"/>
      <c r="F470"/>
      <c r="G470"/>
      <c r="H470" s="44"/>
      <c r="N470" s="44"/>
    </row>
    <row r="471" spans="1:14" x14ac:dyDescent="0.3">
      <c r="A471" s="29" t="s">
        <v>324</v>
      </c>
      <c r="B471" s="30">
        <v>22762850180.705479</v>
      </c>
      <c r="C471" s="30">
        <f t="shared" ref="C471" si="500">B471-B470</f>
        <v>415879504.41670609</v>
      </c>
      <c r="D471" s="32">
        <f t="shared" ref="D471" si="501">(B471/B470)-1</f>
        <v>1.8610106507991997E-2</v>
      </c>
      <c r="E471" s="99"/>
      <c r="F471"/>
      <c r="G471"/>
      <c r="H471" s="44"/>
      <c r="N471" s="44"/>
    </row>
    <row r="472" spans="1:14" x14ac:dyDescent="0.3">
      <c r="A472" s="29" t="s">
        <v>325</v>
      </c>
      <c r="B472" s="30">
        <v>22776067832.487911</v>
      </c>
      <c r="C472" s="30">
        <f t="shared" ref="C472" si="502">B472-B471</f>
        <v>13217651.782432556</v>
      </c>
      <c r="D472" s="32">
        <f t="shared" ref="D472" si="503">(B472/B471)-1</f>
        <v>5.8066769659781414E-4</v>
      </c>
      <c r="E472" s="99"/>
      <c r="F472"/>
      <c r="G472"/>
      <c r="H472" s="44"/>
      <c r="N472" s="44"/>
    </row>
    <row r="473" spans="1:14" x14ac:dyDescent="0.3">
      <c r="A473" s="29" t="s">
        <v>326</v>
      </c>
      <c r="B473" s="30">
        <v>22733335229.678684</v>
      </c>
      <c r="C473" s="30">
        <f t="shared" ref="C473" si="504">B473-B472</f>
        <v>-42732602.80922699</v>
      </c>
      <c r="D473" s="32">
        <f t="shared" ref="D473" si="505">(B473/B472)-1</f>
        <v>-1.8762063374377913E-3</v>
      </c>
      <c r="E473" s="37">
        <v>16100000</v>
      </c>
      <c r="F473" s="40" t="s">
        <v>182</v>
      </c>
      <c r="G473" s="29" t="s">
        <v>359</v>
      </c>
      <c r="H473" s="44"/>
      <c r="N473" s="44"/>
    </row>
    <row r="474" spans="1:14" x14ac:dyDescent="0.3">
      <c r="A474" s="29" t="s">
        <v>327</v>
      </c>
      <c r="B474" s="30">
        <v>22535852210.04348</v>
      </c>
      <c r="C474" s="30">
        <f t="shared" ref="C474" si="506">B474-B473</f>
        <v>-197483019.63520432</v>
      </c>
      <c r="D474" s="32">
        <f t="shared" ref="D474" si="507">(B474/B473)-1</f>
        <v>-8.6869356229519745E-3</v>
      </c>
      <c r="E474" s="99"/>
      <c r="F474"/>
      <c r="G474"/>
      <c r="H474" s="44"/>
      <c r="N474" s="44"/>
    </row>
    <row r="475" spans="1:14" x14ac:dyDescent="0.3">
      <c r="A475" s="29" t="s">
        <v>328</v>
      </c>
      <c r="B475" s="30">
        <v>22752314955.598408</v>
      </c>
      <c r="C475" s="30">
        <f t="shared" ref="C475" si="508">B475-B474</f>
        <v>216462745.55492783</v>
      </c>
      <c r="D475" s="32">
        <f t="shared" ref="D475" si="509">(B475/B474)-1</f>
        <v>9.6052611428849577E-3</v>
      </c>
      <c r="E475" s="99"/>
      <c r="F475"/>
      <c r="G475"/>
      <c r="H475" s="44"/>
      <c r="N475" s="44"/>
    </row>
    <row r="476" spans="1:14" x14ac:dyDescent="0.3">
      <c r="A476" s="29" t="s">
        <v>329</v>
      </c>
      <c r="B476" s="30">
        <v>23062774938.289932</v>
      </c>
      <c r="C476" s="30">
        <f t="shared" ref="C476" si="510">B476-B475</f>
        <v>310459982.69152451</v>
      </c>
      <c r="D476" s="32">
        <f t="shared" ref="D476" si="511">(B476/B475)-1</f>
        <v>1.3645204160429136E-2</v>
      </c>
      <c r="E476" s="99"/>
      <c r="F476"/>
      <c r="G476"/>
      <c r="H476" s="44"/>
      <c r="N476" s="44"/>
    </row>
    <row r="477" spans="1:14" x14ac:dyDescent="0.3">
      <c r="A477" s="29" t="s">
        <v>330</v>
      </c>
      <c r="B477" s="30">
        <v>22952099126.769341</v>
      </c>
      <c r="C477" s="30">
        <f t="shared" ref="C477" si="512">B477-B476</f>
        <v>-110675811.52059174</v>
      </c>
      <c r="D477" s="32">
        <f t="shared" ref="D477" si="513">(B477/B476)-1</f>
        <v>-4.7988939673014874E-3</v>
      </c>
      <c r="E477" s="99"/>
      <c r="F477"/>
      <c r="G477"/>
      <c r="H477" s="44"/>
      <c r="N477" s="44"/>
    </row>
    <row r="478" spans="1:14" x14ac:dyDescent="0.3">
      <c r="A478" s="29" t="s">
        <v>331</v>
      </c>
      <c r="B478" s="30">
        <v>23055259383</v>
      </c>
      <c r="C478" s="30">
        <f t="shared" ref="C478:C479" si="514">B478-B477</f>
        <v>103160256.23065948</v>
      </c>
      <c r="D478" s="32">
        <f t="shared" ref="D478:D479" si="515">(B478/B477)-1</f>
        <v>4.4945891729066823E-3</v>
      </c>
      <c r="E478" s="99"/>
      <c r="F478"/>
      <c r="G478"/>
      <c r="H478" s="44"/>
      <c r="N478" s="44"/>
    </row>
    <row r="479" spans="1:14" x14ac:dyDescent="0.3">
      <c r="A479" s="29" t="s">
        <v>332</v>
      </c>
      <c r="B479" s="30">
        <v>23032279291.644241</v>
      </c>
      <c r="C479" s="30">
        <f t="shared" si="514"/>
        <v>-22980091.355758667</v>
      </c>
      <c r="D479" s="32">
        <f t="shared" si="515"/>
        <v>-9.9673965814084386E-4</v>
      </c>
      <c r="E479" s="37">
        <v>80000000</v>
      </c>
      <c r="F479" s="40" t="s">
        <v>182</v>
      </c>
      <c r="G479" s="29" t="s">
        <v>1</v>
      </c>
      <c r="H479" s="44"/>
      <c r="N479" s="44"/>
    </row>
    <row r="480" spans="1:14" x14ac:dyDescent="0.3">
      <c r="A480" s="29" t="s">
        <v>333</v>
      </c>
      <c r="B480" s="30">
        <v>23105171735.573029</v>
      </c>
      <c r="C480" s="30">
        <f t="shared" ref="C480" si="516">B480-B479</f>
        <v>72892443.928787231</v>
      </c>
      <c r="D480" s="32">
        <f t="shared" ref="D480" si="517">(B480/B479)-1</f>
        <v>3.1647950689461801E-3</v>
      </c>
      <c r="E480" s="99"/>
      <c r="F480"/>
      <c r="G480"/>
      <c r="N480" s="44"/>
    </row>
    <row r="481" spans="1:7" x14ac:dyDescent="0.3">
      <c r="A481" s="29" t="s">
        <v>334</v>
      </c>
      <c r="B481" s="30">
        <v>23314726349.116055</v>
      </c>
      <c r="C481" s="30">
        <f t="shared" ref="C481" si="518">B481-B480</f>
        <v>209554613.54302597</v>
      </c>
      <c r="D481" s="32">
        <f t="shared" ref="D481" si="519">(B481/B480)-1</f>
        <v>9.0695977481263235E-3</v>
      </c>
      <c r="E481" s="37">
        <v>60000000</v>
      </c>
      <c r="F481" s="40" t="s">
        <v>182</v>
      </c>
      <c r="G481" s="29" t="s">
        <v>360</v>
      </c>
    </row>
    <row r="482" spans="1:7" x14ac:dyDescent="0.3">
      <c r="A482" s="29" t="s">
        <v>335</v>
      </c>
      <c r="B482" s="30">
        <v>23043837743.051121</v>
      </c>
      <c r="C482" s="30">
        <f t="shared" ref="C482" si="520">B482-B481</f>
        <v>-270888606.06493378</v>
      </c>
      <c r="D482" s="32">
        <f t="shared" ref="D482" si="521">(B482/B481)-1</f>
        <v>-1.1618776991358715E-2</v>
      </c>
      <c r="E482" s="37">
        <v>100530000</v>
      </c>
      <c r="F482" s="40" t="s">
        <v>182</v>
      </c>
      <c r="G482" s="29" t="s">
        <v>361</v>
      </c>
    </row>
    <row r="483" spans="1:7" x14ac:dyDescent="0.3">
      <c r="A483" s="29" t="s">
        <v>336</v>
      </c>
      <c r="B483" s="30">
        <v>23435138393.305595</v>
      </c>
      <c r="C483" s="30">
        <f t="shared" ref="C483" si="522">B483-B482</f>
        <v>391300650.25447464</v>
      </c>
      <c r="D483" s="32">
        <f t="shared" ref="D483" si="523">(B483/B482)-1</f>
        <v>1.698070671290286E-2</v>
      </c>
      <c r="E483" s="99"/>
      <c r="F483"/>
      <c r="G483"/>
    </row>
    <row r="484" spans="1:7" x14ac:dyDescent="0.3">
      <c r="A484" s="29" t="s">
        <v>337</v>
      </c>
      <c r="B484" s="30">
        <v>24045779902.970028</v>
      </c>
      <c r="C484" s="30">
        <f t="shared" ref="C484" si="524">B484-B483</f>
        <v>610641509.66443253</v>
      </c>
      <c r="D484" s="32">
        <f t="shared" ref="D484" si="525">(B484/B483)-1</f>
        <v>2.6056663264206081E-2</v>
      </c>
      <c r="E484" s="99"/>
      <c r="F484"/>
      <c r="G484"/>
    </row>
    <row r="485" spans="1:7" x14ac:dyDescent="0.3">
      <c r="A485" s="29" t="s">
        <v>338</v>
      </c>
      <c r="B485" s="30">
        <v>24353649706.66394</v>
      </c>
      <c r="C485" s="30">
        <f t="shared" ref="C485" si="526">B485-B484</f>
        <v>307869803.69391251</v>
      </c>
      <c r="D485" s="32">
        <f t="shared" ref="D485" si="527">(B485/B484)-1</f>
        <v>1.2803485889675281E-2</v>
      </c>
      <c r="E485" s="99"/>
      <c r="F485"/>
      <c r="G485"/>
    </row>
    <row r="486" spans="1:7" x14ac:dyDescent="0.3">
      <c r="A486" s="29" t="s">
        <v>339</v>
      </c>
      <c r="B486" s="30">
        <v>24550478432.946377</v>
      </c>
      <c r="C486" s="30">
        <f t="shared" ref="C486" si="528">B486-B485</f>
        <v>196828726.28243637</v>
      </c>
      <c r="D486" s="32">
        <f t="shared" ref="D486" si="529">(B486/B485)-1</f>
        <v>8.082103859306855E-3</v>
      </c>
      <c r="E486" s="37">
        <v>40000000</v>
      </c>
      <c r="F486" s="40" t="s">
        <v>182</v>
      </c>
      <c r="G486" s="29" t="s">
        <v>6</v>
      </c>
    </row>
    <row r="487" spans="1:7" x14ac:dyDescent="0.3">
      <c r="A487" s="29" t="s">
        <v>340</v>
      </c>
      <c r="B487" s="30">
        <v>24528956433.239075</v>
      </c>
      <c r="C487" s="30">
        <f t="shared" ref="C487" si="530">B487-B486</f>
        <v>-21521999.707302094</v>
      </c>
      <c r="D487" s="32">
        <f t="shared" ref="D487" si="531">(B487/B486)-1</f>
        <v>-8.7664278177246313E-4</v>
      </c>
      <c r="E487" s="99"/>
      <c r="F487"/>
      <c r="G487"/>
    </row>
    <row r="488" spans="1:7" x14ac:dyDescent="0.3">
      <c r="A488" s="29" t="s">
        <v>341</v>
      </c>
      <c r="B488" s="30">
        <v>25882169224.888355</v>
      </c>
      <c r="C488" s="30">
        <f t="shared" ref="C488" si="532">B488-B487</f>
        <v>1353212791.6492805</v>
      </c>
      <c r="D488" s="32">
        <f t="shared" ref="D488" si="533">(B488/B487)-1</f>
        <v>5.5167972405689047E-2</v>
      </c>
      <c r="E488" s="99"/>
      <c r="F488"/>
      <c r="G488"/>
    </row>
    <row r="489" spans="1:7" x14ac:dyDescent="0.3">
      <c r="A489" s="29" t="s">
        <v>342</v>
      </c>
      <c r="B489" s="30">
        <v>26158380278</v>
      </c>
      <c r="C489" s="30">
        <f t="shared" ref="C489" si="534">B489-B488</f>
        <v>276211053.11164474</v>
      </c>
      <c r="D489" s="32">
        <f t="shared" ref="D489" si="535">(B489/B488)-1</f>
        <v>1.0671866438692446E-2</v>
      </c>
      <c r="E489" s="99"/>
      <c r="F489"/>
      <c r="G489"/>
    </row>
    <row r="490" spans="1:7" x14ac:dyDescent="0.3">
      <c r="A490" s="29" t="s">
        <v>343</v>
      </c>
      <c r="B490" s="30">
        <v>27315721869.605122</v>
      </c>
      <c r="C490" s="30">
        <f t="shared" ref="C490" si="536">B490-B489</f>
        <v>1157341591.6051216</v>
      </c>
      <c r="D490" s="32">
        <f t="shared" ref="D490" si="537">(B490/B489)-1</f>
        <v>4.4243625916642992E-2</v>
      </c>
      <c r="E490" s="99"/>
      <c r="F490"/>
      <c r="G490"/>
    </row>
    <row r="491" spans="1:7" x14ac:dyDescent="0.3">
      <c r="A491" s="29" t="s">
        <v>344</v>
      </c>
      <c r="B491" s="30">
        <v>27744393536.122658</v>
      </c>
      <c r="C491" s="30">
        <f t="shared" ref="C491" si="538">B491-B490</f>
        <v>428671666.51753616</v>
      </c>
      <c r="D491" s="32">
        <f t="shared" ref="D491" si="539">(B491/B490)-1</f>
        <v>1.5693221235882016E-2</v>
      </c>
      <c r="E491" s="37">
        <v>59700000</v>
      </c>
      <c r="F491" s="46" t="s">
        <v>203</v>
      </c>
      <c r="G491" s="29" t="s">
        <v>268</v>
      </c>
    </row>
    <row r="492" spans="1:7" x14ac:dyDescent="0.3">
      <c r="A492" s="29" t="s">
        <v>345</v>
      </c>
      <c r="B492" s="30">
        <v>27980456800.449238</v>
      </c>
      <c r="C492" s="30">
        <f t="shared" ref="C492" si="540">B492-B491</f>
        <v>236063264.32658005</v>
      </c>
      <c r="D492" s="32">
        <f t="shared" ref="D492" si="541">(B492/B491)-1</f>
        <v>8.5085033132632493E-3</v>
      </c>
      <c r="E492" s="99"/>
      <c r="F492"/>
      <c r="G492"/>
    </row>
    <row r="493" spans="1:7" x14ac:dyDescent="0.3">
      <c r="A493" s="29" t="s">
        <v>346</v>
      </c>
      <c r="B493" s="30">
        <v>28050125272.783939</v>
      </c>
      <c r="C493" s="30">
        <f t="shared" ref="C493" si="542">B493-B492</f>
        <v>69668472.334701538</v>
      </c>
      <c r="D493" s="32">
        <f t="shared" ref="D493" si="543">(B493/B492)-1</f>
        <v>2.4898976035867548E-3</v>
      </c>
      <c r="E493" s="99"/>
      <c r="F493"/>
      <c r="G493"/>
    </row>
    <row r="494" spans="1:7" x14ac:dyDescent="0.3">
      <c r="A494" s="29" t="s">
        <v>347</v>
      </c>
      <c r="B494" s="30">
        <v>27899583868.031208</v>
      </c>
      <c r="C494" s="30">
        <f t="shared" ref="C494" si="544">B494-B493</f>
        <v>-150541404.75273132</v>
      </c>
      <c r="D494" s="32">
        <f t="shared" ref="D494" si="545">(B494/B493)-1</f>
        <v>-5.3668710313674595E-3</v>
      </c>
      <c r="E494" s="37">
        <v>40000000</v>
      </c>
      <c r="F494" s="40" t="s">
        <v>182</v>
      </c>
      <c r="G494" s="29" t="s">
        <v>6</v>
      </c>
    </row>
    <row r="495" spans="1:7" x14ac:dyDescent="0.3">
      <c r="A495" s="29" t="s">
        <v>348</v>
      </c>
      <c r="B495" s="30">
        <v>27364159912.906719</v>
      </c>
      <c r="C495" s="30">
        <f t="shared" ref="C495" si="546">B495-B494</f>
        <v>-535423955.12448883</v>
      </c>
      <c r="D495" s="32">
        <f t="shared" ref="D495" si="547">(B495/B494)-1</f>
        <v>-1.9191109002095419E-2</v>
      </c>
      <c r="E495" s="99"/>
      <c r="F495"/>
      <c r="G495"/>
    </row>
    <row r="496" spans="1:7" x14ac:dyDescent="0.3">
      <c r="A496" s="29" t="s">
        <v>349</v>
      </c>
      <c r="B496" s="30">
        <v>27362266809.180157</v>
      </c>
      <c r="C496" s="30">
        <f t="shared" ref="C496" si="548">B496-B495</f>
        <v>-1893103.7265625</v>
      </c>
      <c r="D496" s="32">
        <f t="shared" ref="D496" si="549">(B496/B495)-1</f>
        <v>-6.9181869006285091E-5</v>
      </c>
      <c r="E496" s="99"/>
      <c r="F496"/>
      <c r="G496"/>
    </row>
    <row r="497" spans="1:8" x14ac:dyDescent="0.3">
      <c r="A497" s="29" t="s">
        <v>350</v>
      </c>
      <c r="B497" s="30">
        <v>27433315115.513729</v>
      </c>
      <c r="C497" s="30">
        <f t="shared" ref="C497" si="550">B497-B496</f>
        <v>71048306.333572388</v>
      </c>
      <c r="D497" s="32">
        <f t="shared" ref="D497" si="551">(B497/B496)-1</f>
        <v>2.5965796923570483E-3</v>
      </c>
      <c r="E497" s="99"/>
      <c r="F497"/>
      <c r="G497"/>
    </row>
    <row r="498" spans="1:8" x14ac:dyDescent="0.3">
      <c r="A498" s="29" t="s">
        <v>351</v>
      </c>
      <c r="B498" s="30">
        <v>26493484708.312672</v>
      </c>
      <c r="C498" s="30">
        <f t="shared" ref="C498" si="552">B498-B497</f>
        <v>-939830407.20105743</v>
      </c>
      <c r="D498" s="32">
        <f t="shared" ref="D498" si="553">(B498/B497)-1</f>
        <v>-3.4258725321518857E-2</v>
      </c>
      <c r="E498" s="99"/>
      <c r="F498"/>
      <c r="G498"/>
    </row>
    <row r="499" spans="1:8" x14ac:dyDescent="0.3">
      <c r="A499" s="29" t="s">
        <v>352</v>
      </c>
      <c r="B499" s="30">
        <v>26987131385.245956</v>
      </c>
      <c r="C499" s="30">
        <f t="shared" ref="C499" si="554">B499-B498</f>
        <v>493646676.93328476</v>
      </c>
      <c r="D499" s="32">
        <f t="shared" ref="D499" si="555">(B499/B498)-1</f>
        <v>1.8632757539003508E-2</v>
      </c>
      <c r="E499" s="99"/>
      <c r="F499"/>
      <c r="G499"/>
    </row>
    <row r="500" spans="1:8" x14ac:dyDescent="0.3">
      <c r="A500" s="29" t="s">
        <v>353</v>
      </c>
      <c r="B500" s="30">
        <v>27143167096.429283</v>
      </c>
      <c r="C500" s="30">
        <f t="shared" ref="C500" si="556">B500-B499</f>
        <v>156035711.18332672</v>
      </c>
      <c r="D500" s="32">
        <f t="shared" ref="D500" si="557">(B500/B499)-1</f>
        <v>5.781856135648189E-3</v>
      </c>
      <c r="E500" s="37">
        <v>143000000</v>
      </c>
      <c r="F500" s="40" t="s">
        <v>182</v>
      </c>
      <c r="G500" s="29" t="s">
        <v>1</v>
      </c>
    </row>
    <row r="501" spans="1:8" x14ac:dyDescent="0.3">
      <c r="A501" s="29" t="s">
        <v>354</v>
      </c>
      <c r="B501" s="30">
        <v>26884866699.881443</v>
      </c>
      <c r="C501" s="30">
        <f t="shared" ref="C501" si="558">B501-B500</f>
        <v>-258300396.54784012</v>
      </c>
      <c r="D501" s="32">
        <f t="shared" ref="D501" si="559">(B501/B500)-1</f>
        <v>-9.5162217301392182E-3</v>
      </c>
      <c r="E501" s="37">
        <v>100000000</v>
      </c>
      <c r="F501" s="46" t="s">
        <v>203</v>
      </c>
      <c r="G501" s="29" t="s">
        <v>268</v>
      </c>
    </row>
    <row r="502" spans="1:8" x14ac:dyDescent="0.3">
      <c r="A502" s="29" t="s">
        <v>362</v>
      </c>
      <c r="B502" s="30">
        <v>27022415102.711872</v>
      </c>
      <c r="C502" s="30">
        <f t="shared" ref="C502" si="560">B502-B501</f>
        <v>137548402.83042908</v>
      </c>
      <c r="D502" s="32">
        <f t="shared" ref="D502" si="561">(B502/B501)-1</f>
        <v>5.1162017787143022E-3</v>
      </c>
      <c r="E502" s="99"/>
      <c r="F502"/>
      <c r="G502"/>
    </row>
    <row r="503" spans="1:8" x14ac:dyDescent="0.3">
      <c r="A503" s="29" t="s">
        <v>363</v>
      </c>
      <c r="B503" s="30">
        <v>26710070334.13163</v>
      </c>
      <c r="C503" s="30">
        <f t="shared" ref="C503" si="562">B503-B502</f>
        <v>-312344768.58024216</v>
      </c>
      <c r="D503" s="32">
        <f t="shared" ref="D503" si="563">(B503/B502)-1</f>
        <v>-1.1558728832823495E-2</v>
      </c>
      <c r="E503" s="99"/>
      <c r="F503"/>
      <c r="G503"/>
    </row>
    <row r="504" spans="1:8" x14ac:dyDescent="0.3">
      <c r="A504" s="29" t="s">
        <v>364</v>
      </c>
      <c r="B504" s="30">
        <v>26496015242.276417</v>
      </c>
      <c r="C504" s="30">
        <f t="shared" ref="C504" si="564">B504-B503</f>
        <v>-214055091.85521317</v>
      </c>
      <c r="D504" s="32">
        <f t="shared" ref="D504" si="565">(B504/B503)-1</f>
        <v>-8.014022021562428E-3</v>
      </c>
      <c r="E504" s="99"/>
      <c r="F504"/>
      <c r="G504"/>
    </row>
    <row r="505" spans="1:8" x14ac:dyDescent="0.3">
      <c r="A505" s="29" t="s">
        <v>365</v>
      </c>
      <c r="B505" s="30">
        <v>26737886491.5569</v>
      </c>
      <c r="C505" s="30">
        <f t="shared" ref="C505" si="566">B505-B504</f>
        <v>241871249.28048325</v>
      </c>
      <c r="D505" s="32">
        <f t="shared" ref="D505" si="567">(B505/B504)-1</f>
        <v>9.1285896037136549E-3</v>
      </c>
      <c r="E505" s="37">
        <v>30000000</v>
      </c>
      <c r="F505" s="40" t="s">
        <v>182</v>
      </c>
      <c r="G505" s="29" t="s">
        <v>3</v>
      </c>
    </row>
    <row r="506" spans="1:8" x14ac:dyDescent="0.3">
      <c r="A506" s="29" t="s">
        <v>366</v>
      </c>
      <c r="B506" s="30">
        <v>27136702114.740898</v>
      </c>
      <c r="C506" s="30">
        <f t="shared" ref="C506" si="568">B506-B505</f>
        <v>398815623.18399811</v>
      </c>
      <c r="D506" s="32">
        <f t="shared" ref="D506" si="569">(B506/B505)-1</f>
        <v>1.4915749728757755E-2</v>
      </c>
      <c r="E506" s="99"/>
      <c r="F506"/>
      <c r="G506"/>
    </row>
    <row r="507" spans="1:8" x14ac:dyDescent="0.3">
      <c r="A507" s="29" t="s">
        <v>367</v>
      </c>
      <c r="B507" s="30">
        <v>27198787658.268902</v>
      </c>
      <c r="C507" s="30">
        <f t="shared" ref="C507" si="570">B507-B506</f>
        <v>62085543.528003693</v>
      </c>
      <c r="D507" s="32">
        <f t="shared" ref="D507" si="571">(B507/B506)-1</f>
        <v>2.2878809394557553E-3</v>
      </c>
      <c r="E507" s="99"/>
      <c r="F507"/>
      <c r="G507"/>
    </row>
    <row r="508" spans="1:8" x14ac:dyDescent="0.3">
      <c r="A508" s="29" t="s">
        <v>368</v>
      </c>
      <c r="B508" s="30">
        <v>26993341008.464298</v>
      </c>
      <c r="C508" s="30">
        <f t="shared" ref="C508" si="572">B508-B507</f>
        <v>-205446649.80460358</v>
      </c>
      <c r="D508" s="32">
        <f t="shared" ref="D508" si="573">(B508/B507)-1</f>
        <v>-7.5535223255490669E-3</v>
      </c>
      <c r="E508" s="99"/>
      <c r="F508"/>
      <c r="G508"/>
    </row>
    <row r="509" spans="1:8" x14ac:dyDescent="0.3">
      <c r="A509" s="29" t="s">
        <v>369</v>
      </c>
      <c r="B509" s="30">
        <v>26941046236.895699</v>
      </c>
      <c r="C509" s="30">
        <f t="shared" ref="C509" si="574">B509-B508</f>
        <v>-52294771.568599701</v>
      </c>
      <c r="D509" s="32">
        <f t="shared" ref="D509" si="575">(B509/B508)-1</f>
        <v>-1.9373211916302591E-3</v>
      </c>
      <c r="E509" s="99"/>
      <c r="F509"/>
      <c r="G509"/>
    </row>
    <row r="510" spans="1:8" x14ac:dyDescent="0.3">
      <c r="A510" s="29" t="s">
        <v>370</v>
      </c>
      <c r="B510" s="30">
        <v>26780006640.0975</v>
      </c>
      <c r="C510" s="30">
        <f t="shared" ref="C510" si="576">B510-B509</f>
        <v>-161039596.7981987</v>
      </c>
      <c r="D510" s="32">
        <f t="shared" ref="D510" si="577">(B510/B509)-1</f>
        <v>-5.9774811780566317E-3</v>
      </c>
      <c r="E510" s="99"/>
      <c r="F510"/>
      <c r="G510"/>
    </row>
    <row r="511" spans="1:8" x14ac:dyDescent="0.3">
      <c r="A511" s="29" t="s">
        <v>371</v>
      </c>
      <c r="B511" s="30">
        <v>26660908175.604198</v>
      </c>
      <c r="C511" s="30">
        <f t="shared" ref="C511" si="578">B511-B510</f>
        <v>-119098464.49330139</v>
      </c>
      <c r="D511" s="32">
        <f t="shared" ref="D511" si="579">(B511/B510)-1</f>
        <v>-4.4472903272165798E-3</v>
      </c>
      <c r="E511" s="99"/>
      <c r="F511"/>
      <c r="G511"/>
      <c r="H511"/>
    </row>
    <row r="512" spans="1:8" x14ac:dyDescent="0.3">
      <c r="A512" s="29" t="s">
        <v>372</v>
      </c>
      <c r="B512" s="30">
        <v>26272993069.291801</v>
      </c>
      <c r="C512" s="30">
        <f t="shared" ref="C512" si="580">B512-B511</f>
        <v>-387915106.312397</v>
      </c>
      <c r="D512" s="32">
        <f t="shared" ref="D512" si="581">(B512/B511)-1</f>
        <v>-1.4549958454429301E-2</v>
      </c>
      <c r="E512" s="37">
        <v>23000000</v>
      </c>
      <c r="F512" s="40" t="s">
        <v>182</v>
      </c>
      <c r="G512" s="29" t="s">
        <v>1</v>
      </c>
      <c r="H512"/>
    </row>
    <row r="513" spans="1:8" x14ac:dyDescent="0.3">
      <c r="A513" s="29" t="s">
        <v>373</v>
      </c>
      <c r="B513" s="30">
        <v>25993074474.7747</v>
      </c>
      <c r="C513" s="30">
        <f t="shared" ref="C513" si="582">B513-B512</f>
        <v>-279918594.51710129</v>
      </c>
      <c r="D513" s="32">
        <f t="shared" ref="D513" si="583">(B513/B512)-1</f>
        <v>-1.0654233180774297E-2</v>
      </c>
      <c r="E513" s="37">
        <v>350000000</v>
      </c>
      <c r="F513" s="40" t="s">
        <v>182</v>
      </c>
      <c r="G513" s="29" t="s">
        <v>402</v>
      </c>
      <c r="H513" s="29" t="s">
        <v>1080</v>
      </c>
    </row>
    <row r="514" spans="1:8" x14ac:dyDescent="0.3">
      <c r="A514" s="29" t="s">
        <v>374</v>
      </c>
      <c r="B514" s="30">
        <v>26640324523.143799</v>
      </c>
      <c r="C514" s="30">
        <f t="shared" ref="C514" si="584">B514-B513</f>
        <v>647250048.36909866</v>
      </c>
      <c r="D514" s="32">
        <f t="shared" ref="D514" si="585">(B514/B513)-1</f>
        <v>2.4900865382324389E-2</v>
      </c>
      <c r="E514" s="99"/>
      <c r="F514"/>
      <c r="G514"/>
      <c r="H514"/>
    </row>
    <row r="515" spans="1:8" x14ac:dyDescent="0.3">
      <c r="A515" s="29" t="s">
        <v>375</v>
      </c>
      <c r="B515" s="30">
        <v>27039121481.451599</v>
      </c>
      <c r="C515" s="30">
        <f t="shared" ref="C515" si="586">B515-B514</f>
        <v>398796958.30780029</v>
      </c>
      <c r="D515" s="32">
        <f t="shared" ref="D515" si="587">(B515/B514)-1</f>
        <v>1.4969673434771513E-2</v>
      </c>
      <c r="E515" s="99"/>
      <c r="F515"/>
      <c r="G515"/>
      <c r="H515"/>
    </row>
    <row r="516" spans="1:8" x14ac:dyDescent="0.3">
      <c r="A516" s="29" t="s">
        <v>376</v>
      </c>
      <c r="B516" s="30">
        <v>27936497867.998299</v>
      </c>
      <c r="C516" s="30">
        <f t="shared" ref="C516" si="588">B516-B515</f>
        <v>897376386.54669952</v>
      </c>
      <c r="D516" s="32">
        <f t="shared" ref="D516" si="589">(B516/B515)-1</f>
        <v>3.3188074810873047E-2</v>
      </c>
      <c r="E516" s="99"/>
      <c r="F516"/>
      <c r="G516"/>
      <c r="H516"/>
    </row>
    <row r="517" spans="1:8" x14ac:dyDescent="0.3">
      <c r="A517" s="29" t="s">
        <v>377</v>
      </c>
      <c r="B517" s="30">
        <v>28331581226.293701</v>
      </c>
      <c r="C517" s="30">
        <f t="shared" ref="C517" si="590">B517-B516</f>
        <v>395083358.29540253</v>
      </c>
      <c r="D517" s="32">
        <f t="shared" ref="D517" si="591">(B517/B516)-1</f>
        <v>1.414219349047241E-2</v>
      </c>
      <c r="E517" s="37">
        <v>165000000</v>
      </c>
      <c r="F517" s="40" t="s">
        <v>182</v>
      </c>
      <c r="G517" s="29" t="s">
        <v>1</v>
      </c>
      <c r="H517"/>
    </row>
    <row r="518" spans="1:8" x14ac:dyDescent="0.3">
      <c r="A518" s="29" t="s">
        <v>378</v>
      </c>
      <c r="B518" s="30">
        <v>28061217528.449402</v>
      </c>
      <c r="C518" s="30">
        <f t="shared" ref="C518" si="592">B518-B517</f>
        <v>-270363697.84429932</v>
      </c>
      <c r="D518" s="32">
        <f t="shared" ref="D518" si="593">(B518/B517)-1</f>
        <v>-9.5428382794738864E-3</v>
      </c>
      <c r="E518" s="99"/>
      <c r="F518"/>
      <c r="G518"/>
      <c r="H518"/>
    </row>
    <row r="519" spans="1:8" x14ac:dyDescent="0.3">
      <c r="A519" s="29" t="s">
        <v>379</v>
      </c>
      <c r="B519" s="30">
        <v>28561181911.798599</v>
      </c>
      <c r="C519" s="30">
        <f t="shared" ref="C519" si="594">B519-B518</f>
        <v>499964383.34919739</v>
      </c>
      <c r="D519" s="32">
        <f t="shared" ref="D519" si="595">(B519/B518)-1</f>
        <v>1.7816916990230913E-2</v>
      </c>
      <c r="E519" s="99"/>
      <c r="F519"/>
      <c r="G519"/>
      <c r="H519"/>
    </row>
    <row r="520" spans="1:8" x14ac:dyDescent="0.3">
      <c r="A520" s="29" t="s">
        <v>380</v>
      </c>
      <c r="B520" s="30">
        <v>28309511154.284618</v>
      </c>
      <c r="C520" s="30">
        <f t="shared" ref="C520" si="596">B520-B519</f>
        <v>-251670757.51398087</v>
      </c>
      <c r="D520" s="32">
        <f t="shared" ref="D520" si="597">(B520/B519)-1</f>
        <v>-8.8116366574457761E-3</v>
      </c>
      <c r="E520" s="99"/>
      <c r="F520"/>
      <c r="G520"/>
      <c r="H520"/>
    </row>
    <row r="521" spans="1:8" x14ac:dyDescent="0.3">
      <c r="A521" s="29" t="s">
        <v>381</v>
      </c>
      <c r="B521" s="30">
        <v>28144116319.867802</v>
      </c>
      <c r="C521" s="30">
        <f t="shared" ref="C521" si="598">B521-B520</f>
        <v>-165394834.41681671</v>
      </c>
      <c r="D521" s="32">
        <f t="shared" ref="D521" si="599">(B521/B520)-1</f>
        <v>-5.8423769140847348E-3</v>
      </c>
      <c r="E521" s="99"/>
      <c r="F521"/>
      <c r="G521"/>
      <c r="H521"/>
    </row>
    <row r="522" spans="1:8" x14ac:dyDescent="0.3">
      <c r="A522" s="29" t="s">
        <v>382</v>
      </c>
      <c r="B522" s="30">
        <v>27892297559.673401</v>
      </c>
      <c r="C522" s="30">
        <f t="shared" ref="C522" si="600">B522-B521</f>
        <v>-251818760.19440079</v>
      </c>
      <c r="D522" s="32">
        <f t="shared" ref="D522" si="601">(B522/B521)-1</f>
        <v>-8.9474743968647186E-3</v>
      </c>
      <c r="E522" s="99"/>
      <c r="F522"/>
      <c r="G522"/>
      <c r="H522"/>
    </row>
    <row r="523" spans="1:8" x14ac:dyDescent="0.3">
      <c r="A523" s="29" t="s">
        <v>383</v>
      </c>
      <c r="B523" s="30">
        <v>29331556098.581299</v>
      </c>
      <c r="C523" s="30">
        <f t="shared" ref="C523" si="602">B523-B522</f>
        <v>1439258538.9078979</v>
      </c>
      <c r="D523" s="32">
        <f t="shared" ref="D523" si="603">(B523/B522)-1</f>
        <v>5.1600573091145296E-2</v>
      </c>
      <c r="E523" s="37">
        <v>65000000</v>
      </c>
      <c r="F523" s="40" t="s">
        <v>182</v>
      </c>
      <c r="G523" s="29" t="s">
        <v>441</v>
      </c>
      <c r="H523"/>
    </row>
    <row r="524" spans="1:8" x14ac:dyDescent="0.3">
      <c r="A524" s="29" t="s">
        <v>384</v>
      </c>
      <c r="B524" s="30">
        <v>29819940443.821899</v>
      </c>
      <c r="C524" s="30">
        <f t="shared" ref="C524" si="604">B524-B523</f>
        <v>488384345.24060059</v>
      </c>
      <c r="D524" s="32">
        <f t="shared" ref="D524" si="605">(B524/B523)-1</f>
        <v>1.6650475126487541E-2</v>
      </c>
      <c r="E524" s="99"/>
      <c r="F524"/>
      <c r="G524"/>
      <c r="H524"/>
    </row>
    <row r="525" spans="1:8" x14ac:dyDescent="0.3">
      <c r="A525" s="29" t="s">
        <v>385</v>
      </c>
      <c r="B525" s="30">
        <v>29814455542.003899</v>
      </c>
      <c r="C525" s="30">
        <f t="shared" ref="C525" si="606">B525-B524</f>
        <v>-5484901.8180007935</v>
      </c>
      <c r="D525" s="32">
        <f t="shared" ref="D525" si="607">(B525/B524)-1</f>
        <v>-1.8393402992655794E-4</v>
      </c>
      <c r="E525" s="99"/>
      <c r="F525"/>
      <c r="G525"/>
      <c r="H525"/>
    </row>
    <row r="526" spans="1:8" x14ac:dyDescent="0.3">
      <c r="A526" s="29" t="s">
        <v>386</v>
      </c>
      <c r="B526" s="30">
        <v>31486616683.790241</v>
      </c>
      <c r="C526" s="30">
        <f t="shared" ref="C526" si="608">B526-B525</f>
        <v>1672161141.7863426</v>
      </c>
      <c r="D526" s="32">
        <f t="shared" ref="D526" si="609">(B526/B525)-1</f>
        <v>5.6085583700514974E-2</v>
      </c>
      <c r="E526" s="37">
        <v>61500000</v>
      </c>
      <c r="F526" s="40" t="s">
        <v>182</v>
      </c>
      <c r="G526" s="29" t="s">
        <v>442</v>
      </c>
      <c r="H526"/>
    </row>
    <row r="527" spans="1:8" x14ac:dyDescent="0.3">
      <c r="A527" s="29" t="s">
        <v>387</v>
      </c>
      <c r="B527" s="30">
        <v>29796027068.3895</v>
      </c>
      <c r="C527" s="30">
        <f t="shared" ref="C527" si="610">B527-B526</f>
        <v>-1690589615.4007416</v>
      </c>
      <c r="D527" s="32">
        <f t="shared" ref="D527" si="611">(B527/B526)-1</f>
        <v>-5.3692323706251988E-2</v>
      </c>
      <c r="E527" s="99"/>
      <c r="F527"/>
      <c r="G527"/>
    </row>
    <row r="528" spans="1:8" x14ac:dyDescent="0.3">
      <c r="A528" s="29" t="s">
        <v>388</v>
      </c>
      <c r="B528" s="30">
        <v>29258342831.805099</v>
      </c>
      <c r="C528" s="30">
        <f t="shared" ref="C528" si="612">B528-B527</f>
        <v>-537684236.58440018</v>
      </c>
      <c r="D528" s="32">
        <f t="shared" ref="D528" si="613">(B528/B527)-1</f>
        <v>-1.8045501010932719E-2</v>
      </c>
      <c r="E528" s="99"/>
      <c r="F528"/>
      <c r="G528"/>
    </row>
    <row r="529" spans="1:7" x14ac:dyDescent="0.3">
      <c r="A529" s="29" t="s">
        <v>389</v>
      </c>
      <c r="B529" s="30">
        <v>30021891776.859001</v>
      </c>
      <c r="C529" s="30">
        <f t="shared" ref="C529" si="614">B529-B528</f>
        <v>763548945.05390167</v>
      </c>
      <c r="D529" s="32">
        <f t="shared" ref="D529" si="615">(B529/B528)-1</f>
        <v>2.6096793979182298E-2</v>
      </c>
      <c r="E529" s="99"/>
      <c r="F529"/>
      <c r="G529"/>
    </row>
    <row r="530" spans="1:7" x14ac:dyDescent="0.3">
      <c r="A530" s="29" t="s">
        <v>390</v>
      </c>
      <c r="B530" s="30">
        <v>29858777214.671001</v>
      </c>
      <c r="C530" s="30">
        <f t="shared" ref="C530" si="616">B530-B529</f>
        <v>-163114562.18799973</v>
      </c>
      <c r="D530" s="32">
        <f t="shared" ref="D530" si="617">(B530/B529)-1</f>
        <v>-5.4331873354406257E-3</v>
      </c>
      <c r="E530" s="99"/>
      <c r="F530"/>
      <c r="G530"/>
    </row>
    <row r="531" spans="1:7" x14ac:dyDescent="0.3">
      <c r="A531" s="29" t="s">
        <v>391</v>
      </c>
      <c r="B531" s="30">
        <v>29354191387.149799</v>
      </c>
      <c r="C531" s="30">
        <f t="shared" ref="C531" si="618">B531-B530</f>
        <v>-504585827.52120209</v>
      </c>
      <c r="D531" s="32">
        <f t="shared" ref="D531" si="619">(B531/B530)-1</f>
        <v>-1.6899078749724405E-2</v>
      </c>
      <c r="E531" s="99"/>
      <c r="F531"/>
      <c r="G531"/>
    </row>
    <row r="532" spans="1:7" x14ac:dyDescent="0.3">
      <c r="A532" s="29" t="s">
        <v>392</v>
      </c>
      <c r="B532" s="30">
        <v>29440320808.7771</v>
      </c>
      <c r="C532" s="30">
        <f t="shared" ref="C532" si="620">B532-B531</f>
        <v>86129421.627300262</v>
      </c>
      <c r="D532" s="32">
        <f t="shared" ref="D532" si="621">(B532/B531)-1</f>
        <v>2.9341439009968884E-3</v>
      </c>
      <c r="E532" s="99"/>
      <c r="F532"/>
      <c r="G532"/>
    </row>
    <row r="533" spans="1:7" x14ac:dyDescent="0.3">
      <c r="A533" s="29" t="s">
        <v>393</v>
      </c>
      <c r="B533" s="30">
        <v>30339533583.867699</v>
      </c>
      <c r="C533" s="30">
        <f t="shared" ref="C533" si="622">B533-B532</f>
        <v>899212775.09059906</v>
      </c>
      <c r="D533" s="32">
        <f t="shared" ref="D533" si="623">(B533/B532)-1</f>
        <v>3.054357936284835E-2</v>
      </c>
      <c r="E533" s="37">
        <v>50000000</v>
      </c>
      <c r="F533" s="40" t="s">
        <v>182</v>
      </c>
      <c r="G533" s="29" t="s">
        <v>1</v>
      </c>
    </row>
    <row r="534" spans="1:7" x14ac:dyDescent="0.3">
      <c r="A534" s="29" t="s">
        <v>394</v>
      </c>
      <c r="B534" s="30">
        <v>30375899389.690899</v>
      </c>
      <c r="C534" s="30">
        <f t="shared" ref="C534" si="624">B534-B533</f>
        <v>36365805.823200226</v>
      </c>
      <c r="D534" s="32">
        <f t="shared" ref="D534" si="625">(B534/B533)-1</f>
        <v>1.1986277153099856E-3</v>
      </c>
      <c r="E534" s="99"/>
      <c r="F534"/>
      <c r="G534"/>
    </row>
    <row r="535" spans="1:7" x14ac:dyDescent="0.3">
      <c r="A535" s="29" t="s">
        <v>395</v>
      </c>
      <c r="B535" s="30">
        <v>30568678898.251801</v>
      </c>
      <c r="C535" s="30">
        <f t="shared" ref="C535" si="626">B535-B534</f>
        <v>192779508.56090164</v>
      </c>
      <c r="D535" s="32">
        <f t="shared" ref="D535" si="627">(B535/B534)-1</f>
        <v>6.3464625717823964E-3</v>
      </c>
      <c r="E535" s="99"/>
      <c r="F535"/>
      <c r="G535"/>
    </row>
    <row r="536" spans="1:7" x14ac:dyDescent="0.3">
      <c r="A536" s="29" t="s">
        <v>396</v>
      </c>
      <c r="B536" s="30">
        <v>30179292310.852699</v>
      </c>
      <c r="C536" s="30">
        <f t="shared" ref="C536" si="628">B536-B535</f>
        <v>-389386587.39910126</v>
      </c>
      <c r="D536" s="32">
        <f t="shared" ref="D536" si="629">(B536/B535)-1</f>
        <v>-1.2738090144333025E-2</v>
      </c>
      <c r="E536" s="99"/>
      <c r="F536"/>
      <c r="G536"/>
    </row>
    <row r="537" spans="1:7" x14ac:dyDescent="0.3">
      <c r="A537" s="29" t="s">
        <v>397</v>
      </c>
      <c r="B537" s="30">
        <v>30213480554.719501</v>
      </c>
      <c r="C537" s="30">
        <f t="shared" ref="C537" si="630">B537-B536</f>
        <v>34188243.866802216</v>
      </c>
      <c r="D537" s="32">
        <f t="shared" ref="D537" si="631">(B537/B536)-1</f>
        <v>1.1328378251769244E-3</v>
      </c>
      <c r="E537" s="99"/>
      <c r="F537"/>
      <c r="G537"/>
    </row>
    <row r="538" spans="1:7" x14ac:dyDescent="0.3">
      <c r="A538" s="29" t="s">
        <v>398</v>
      </c>
      <c r="B538" s="30">
        <v>30944099946.286701</v>
      </c>
      <c r="C538" s="30">
        <f t="shared" ref="C538" si="632">B538-B537</f>
        <v>730619391.56719971</v>
      </c>
      <c r="D538" s="32">
        <f t="shared" ref="D538" si="633">(B538/B537)-1</f>
        <v>2.4181900865210659E-2</v>
      </c>
      <c r="E538" s="99"/>
      <c r="F538"/>
      <c r="G538"/>
    </row>
    <row r="539" spans="1:7" x14ac:dyDescent="0.3">
      <c r="A539" s="29" t="s">
        <v>399</v>
      </c>
      <c r="B539" s="30">
        <v>30982117763.025093</v>
      </c>
      <c r="C539" s="30">
        <f t="shared" ref="C539" si="634">B539-B538</f>
        <v>38017816.738391876</v>
      </c>
      <c r="D539" s="32">
        <f t="shared" ref="D539" si="635">(B539/B538)-1</f>
        <v>1.2285966243770208E-3</v>
      </c>
      <c r="E539" s="37">
        <v>30000000</v>
      </c>
      <c r="F539" s="40" t="s">
        <v>182</v>
      </c>
      <c r="G539" s="29" t="s">
        <v>443</v>
      </c>
    </row>
    <row r="540" spans="1:7" x14ac:dyDescent="0.3">
      <c r="A540" s="29" t="s">
        <v>400</v>
      </c>
      <c r="B540" s="30">
        <v>31328016388.020699</v>
      </c>
      <c r="C540" s="30">
        <f t="shared" ref="C540" si="636">B540-B539</f>
        <v>345898624.99560547</v>
      </c>
      <c r="D540" s="32">
        <f t="shared" ref="D540" si="637">(B540/B539)-1</f>
        <v>1.1164460339390114E-2</v>
      </c>
      <c r="E540" s="99"/>
      <c r="F540"/>
      <c r="G540"/>
    </row>
    <row r="541" spans="1:7" x14ac:dyDescent="0.3">
      <c r="A541" s="29" t="s">
        <v>401</v>
      </c>
      <c r="B541" s="30">
        <v>30394085704.165401</v>
      </c>
      <c r="C541" s="30">
        <f t="shared" ref="C541" si="638">B541-B540</f>
        <v>-933930683.85529709</v>
      </c>
      <c r="D541" s="32">
        <f t="shared" ref="D541" si="639">(B541/B540)-1</f>
        <v>-2.9811357102469405E-2</v>
      </c>
      <c r="E541" s="99"/>
      <c r="F541"/>
      <c r="G541"/>
    </row>
    <row r="542" spans="1:7" x14ac:dyDescent="0.3">
      <c r="A542" s="29" t="s">
        <v>403</v>
      </c>
      <c r="B542" s="30">
        <v>30514522544.034061</v>
      </c>
      <c r="C542" s="30">
        <f t="shared" ref="C542" si="640">B542-B541</f>
        <v>120436839.86865997</v>
      </c>
      <c r="D542" s="32">
        <f t="shared" ref="D542" si="641">(B542/B541)-1</f>
        <v>3.9625090565613696E-3</v>
      </c>
      <c r="E542" s="99"/>
      <c r="F542"/>
      <c r="G542"/>
    </row>
    <row r="543" spans="1:7" x14ac:dyDescent="0.3">
      <c r="A543" s="29" t="s">
        <v>404</v>
      </c>
      <c r="B543" s="30">
        <v>30614923259.248199</v>
      </c>
      <c r="C543" s="30">
        <f t="shared" ref="C543" si="642">B543-B542</f>
        <v>100400715.21413803</v>
      </c>
      <c r="D543" s="32">
        <f t="shared" ref="D543" si="643">(B543/B542)-1</f>
        <v>3.2902600743385246E-3</v>
      </c>
      <c r="E543" s="99"/>
      <c r="F543"/>
      <c r="G543"/>
    </row>
    <row r="544" spans="1:7" x14ac:dyDescent="0.3">
      <c r="A544" s="29" t="s">
        <v>405</v>
      </c>
      <c r="B544" s="30">
        <v>30726650847.8666</v>
      </c>
      <c r="C544" s="30">
        <f t="shared" ref="C544" si="644">B544-B543</f>
        <v>111727588.61840057</v>
      </c>
      <c r="D544" s="32">
        <f t="shared" ref="D544" si="645">(B544/B543)-1</f>
        <v>3.6494485931677367E-3</v>
      </c>
      <c r="E544" s="37">
        <v>127500000</v>
      </c>
      <c r="F544" s="40" t="s">
        <v>182</v>
      </c>
      <c r="G544" s="29" t="s">
        <v>1</v>
      </c>
    </row>
    <row r="545" spans="1:7" x14ac:dyDescent="0.3">
      <c r="A545" s="29" t="s">
        <v>406</v>
      </c>
      <c r="B545" s="30">
        <v>31118527140.300499</v>
      </c>
      <c r="C545" s="30">
        <f t="shared" ref="C545" si="646">B545-B544</f>
        <v>391876292.43389893</v>
      </c>
      <c r="D545" s="32">
        <f t="shared" ref="D545" si="647">(B545/B544)-1</f>
        <v>1.2753628580418841E-2</v>
      </c>
      <c r="E545" s="37">
        <v>44330000</v>
      </c>
      <c r="F545" s="46" t="s">
        <v>203</v>
      </c>
      <c r="G545" s="29" t="s">
        <v>444</v>
      </c>
    </row>
    <row r="546" spans="1:7" x14ac:dyDescent="0.3">
      <c r="A546" s="29" t="s">
        <v>407</v>
      </c>
      <c r="B546" s="30">
        <v>31082015976.529598</v>
      </c>
      <c r="C546" s="30">
        <f t="shared" ref="C546" si="648">B546-B545</f>
        <v>-36511163.770900726</v>
      </c>
      <c r="D546" s="32">
        <f t="shared" ref="D546" si="649">(B546/B545)-1</f>
        <v>-1.1732934404731221E-3</v>
      </c>
      <c r="E546" s="99"/>
      <c r="F546"/>
      <c r="G546"/>
    </row>
    <row r="547" spans="1:7" x14ac:dyDescent="0.3">
      <c r="A547" s="29" t="s">
        <v>408</v>
      </c>
      <c r="B547" s="30">
        <v>30937846902.579201</v>
      </c>
      <c r="C547" s="30">
        <f t="shared" ref="C547" si="650">B547-B546</f>
        <v>-144169073.95039749</v>
      </c>
      <c r="D547" s="32">
        <f t="shared" ref="D547" si="651">(B547/B546)-1</f>
        <v>-4.6383437309620579E-3</v>
      </c>
      <c r="E547" s="99"/>
      <c r="F547"/>
      <c r="G547"/>
    </row>
    <row r="548" spans="1:7" x14ac:dyDescent="0.3">
      <c r="A548" s="29" t="s">
        <v>409</v>
      </c>
      <c r="B548" s="30">
        <v>30840225122.100601</v>
      </c>
      <c r="C548" s="30">
        <f t="shared" ref="C548" si="652">B548-B547</f>
        <v>-97621780.478599548</v>
      </c>
      <c r="D548" s="32">
        <f t="shared" ref="D548" si="653">(B548/B547)-1</f>
        <v>-3.1554161084965671E-3</v>
      </c>
      <c r="E548" s="37">
        <v>99900000</v>
      </c>
      <c r="F548" s="46" t="s">
        <v>203</v>
      </c>
      <c r="G548" s="29" t="s">
        <v>268</v>
      </c>
    </row>
    <row r="549" spans="1:7" x14ac:dyDescent="0.3">
      <c r="A549" s="29" t="s">
        <v>410</v>
      </c>
      <c r="B549" s="30">
        <v>30816262016.2276</v>
      </c>
      <c r="C549" s="30">
        <f t="shared" ref="C549" si="654">B549-B548</f>
        <v>-23963105.873001099</v>
      </c>
      <c r="D549" s="32">
        <f t="shared" ref="D549" si="655">(B549/B548)-1</f>
        <v>-7.7700813720160689E-4</v>
      </c>
      <c r="E549" s="99"/>
      <c r="F549"/>
      <c r="G549"/>
    </row>
    <row r="550" spans="1:7" x14ac:dyDescent="0.3">
      <c r="A550" s="29" t="s">
        <v>411</v>
      </c>
      <c r="B550" s="30">
        <v>30835460447.6441</v>
      </c>
      <c r="C550" s="30">
        <f t="shared" ref="C550" si="656">B550-B549</f>
        <v>19198431.416500092</v>
      </c>
      <c r="D550" s="32">
        <f t="shared" ref="D550" si="657">(B550/B549)-1</f>
        <v>6.2299676081378763E-4</v>
      </c>
      <c r="E550" s="99"/>
      <c r="F550"/>
      <c r="G550"/>
    </row>
    <row r="551" spans="1:7" x14ac:dyDescent="0.3">
      <c r="A551" s="29" t="s">
        <v>412</v>
      </c>
      <c r="B551" s="30">
        <v>30860512267.502102</v>
      </c>
      <c r="C551" s="30">
        <f t="shared" ref="C551" si="658">B551-B550</f>
        <v>25051819.858001709</v>
      </c>
      <c r="D551" s="32">
        <f t="shared" ref="D551" si="659">(B551/B550)-1</f>
        <v>8.1243540697362171E-4</v>
      </c>
      <c r="E551" s="37">
        <v>30000000</v>
      </c>
      <c r="F551" s="40" t="s">
        <v>182</v>
      </c>
      <c r="G551" s="29" t="s">
        <v>4</v>
      </c>
    </row>
    <row r="552" spans="1:7" x14ac:dyDescent="0.3">
      <c r="A552" s="29" t="s">
        <v>413</v>
      </c>
      <c r="B552" s="30">
        <v>30863846522.538898</v>
      </c>
      <c r="C552" s="30">
        <f t="shared" ref="C552" si="660">B552-B551</f>
        <v>3334255.0367965698</v>
      </c>
      <c r="D552" s="32">
        <f t="shared" ref="D552" si="661">(B552/B551)-1</f>
        <v>1.0804276377185396E-4</v>
      </c>
      <c r="E552" s="37">
        <v>2500000</v>
      </c>
      <c r="F552" s="40" t="s">
        <v>182</v>
      </c>
      <c r="G552" s="29" t="s">
        <v>6</v>
      </c>
    </row>
    <row r="553" spans="1:7" x14ac:dyDescent="0.3">
      <c r="A553" s="29" t="s">
        <v>414</v>
      </c>
      <c r="B553" s="30">
        <v>30862585946.354</v>
      </c>
      <c r="C553" s="30">
        <f t="shared" ref="C553" si="662">B553-B552</f>
        <v>-1260576.1848983765</v>
      </c>
      <c r="D553" s="32">
        <f t="shared" ref="D553" si="663">(B553/B552)-1</f>
        <v>-4.0843132886214661E-5</v>
      </c>
      <c r="E553" s="99"/>
      <c r="F553"/>
      <c r="G553"/>
    </row>
    <row r="554" spans="1:7" x14ac:dyDescent="0.3">
      <c r="A554" s="29" t="s">
        <v>415</v>
      </c>
      <c r="B554" s="30">
        <v>30879536928.3424</v>
      </c>
      <c r="C554" s="30">
        <f t="shared" ref="C554" si="664">B554-B553</f>
        <v>16950981.988399506</v>
      </c>
      <c r="D554" s="32">
        <f t="shared" ref="D554" si="665">(B554/B553)-1</f>
        <v>5.4924049520232998E-4</v>
      </c>
      <c r="E554" s="99"/>
      <c r="F554"/>
      <c r="G554"/>
    </row>
    <row r="555" spans="1:7" x14ac:dyDescent="0.3">
      <c r="A555" s="29" t="s">
        <v>416</v>
      </c>
      <c r="B555" s="30">
        <v>30837518971.427898</v>
      </c>
      <c r="C555" s="30">
        <f t="shared" ref="C555" si="666">B555-B554</f>
        <v>-42017956.91450119</v>
      </c>
      <c r="D555" s="32">
        <f t="shared" ref="D555" si="667">(B555/B554)-1</f>
        <v>-1.36070553816936E-3</v>
      </c>
      <c r="E555" s="99"/>
      <c r="F555"/>
      <c r="G555"/>
    </row>
    <row r="556" spans="1:7" x14ac:dyDescent="0.3">
      <c r="A556" s="29" t="s">
        <v>417</v>
      </c>
      <c r="B556" s="30">
        <v>30843703209.042198</v>
      </c>
      <c r="C556" s="30">
        <f t="shared" ref="C556" si="668">B556-B555</f>
        <v>6184237.6142997742</v>
      </c>
      <c r="D556" s="32">
        <f t="shared" ref="D556" si="669">(B556/B555)-1</f>
        <v>2.0054264482260997E-4</v>
      </c>
      <c r="E556" s="99"/>
      <c r="F556"/>
      <c r="G556"/>
    </row>
    <row r="557" spans="1:7" x14ac:dyDescent="0.3">
      <c r="A557" s="29" t="s">
        <v>418</v>
      </c>
      <c r="B557" s="30">
        <v>30843562393.594002</v>
      </c>
      <c r="C557" s="30">
        <f t="shared" ref="C557" si="670">B557-B556</f>
        <v>-140815.44819641113</v>
      </c>
      <c r="D557" s="32">
        <f t="shared" ref="D557" si="671">(B557/B556)-1</f>
        <v>-4.5654520548499278E-6</v>
      </c>
      <c r="E557" s="99"/>
      <c r="F557"/>
      <c r="G557"/>
    </row>
    <row r="558" spans="1:7" x14ac:dyDescent="0.3">
      <c r="A558" s="29" t="s">
        <v>419</v>
      </c>
      <c r="B558" s="30">
        <v>30860753284.410301</v>
      </c>
      <c r="C558" s="30">
        <f t="shared" ref="C558" si="672">B558-B557</f>
        <v>17190890.816299438</v>
      </c>
      <c r="D558" s="32">
        <f t="shared" ref="D558" si="673">(B558/B557)-1</f>
        <v>5.5735749966001613E-4</v>
      </c>
      <c r="E558" s="99"/>
      <c r="F558"/>
      <c r="G558"/>
    </row>
    <row r="559" spans="1:7" x14ac:dyDescent="0.3">
      <c r="A559" s="29" t="s">
        <v>420</v>
      </c>
      <c r="B559" s="30">
        <v>30925941878.050098</v>
      </c>
      <c r="C559" s="30">
        <f t="shared" ref="C559" si="674">B559-B558</f>
        <v>65188593.639797211</v>
      </c>
      <c r="D559" s="32">
        <f t="shared" ref="D559" si="675">(B559/B558)-1</f>
        <v>2.1123461582102099E-3</v>
      </c>
      <c r="E559" s="37">
        <v>36000000</v>
      </c>
      <c r="F559" s="40" t="s">
        <v>182</v>
      </c>
      <c r="G559" s="29" t="s">
        <v>443</v>
      </c>
    </row>
    <row r="560" spans="1:7" x14ac:dyDescent="0.3">
      <c r="A560" s="29" t="s">
        <v>421</v>
      </c>
      <c r="B560" s="30">
        <v>30940063402.256401</v>
      </c>
      <c r="C560" s="30">
        <f t="shared" ref="C560" si="676">B560-B559</f>
        <v>14121524.206302643</v>
      </c>
      <c r="D560" s="32">
        <f t="shared" ref="D560" si="677">(B560/B559)-1</f>
        <v>4.5662390047773727E-4</v>
      </c>
      <c r="E560" s="99"/>
      <c r="F560"/>
      <c r="G560"/>
    </row>
    <row r="561" spans="1:7" x14ac:dyDescent="0.3">
      <c r="A561" s="29" t="s">
        <v>422</v>
      </c>
      <c r="B561" s="30">
        <v>30724088070.062599</v>
      </c>
      <c r="C561" s="30">
        <f t="shared" ref="C561" si="678">B561-B560</f>
        <v>-215975332.19380188</v>
      </c>
      <c r="D561" s="32">
        <f t="shared" ref="D561" si="679">(B561/B560)-1</f>
        <v>-6.9804424569489543E-3</v>
      </c>
      <c r="E561" s="99"/>
      <c r="F561"/>
      <c r="G561"/>
    </row>
    <row r="562" spans="1:7" x14ac:dyDescent="0.3">
      <c r="A562" s="29" t="s">
        <v>423</v>
      </c>
      <c r="B562" s="30">
        <v>30504212057.820801</v>
      </c>
      <c r="C562" s="30">
        <f t="shared" ref="C562" si="680">B562-B561</f>
        <v>-219876012.2417984</v>
      </c>
      <c r="D562" s="32">
        <f t="shared" ref="D562" si="681">(B562/B561)-1</f>
        <v>-7.1564699248484187E-3</v>
      </c>
      <c r="E562" s="37">
        <v>15000000</v>
      </c>
      <c r="F562" s="40" t="s">
        <v>182</v>
      </c>
      <c r="G562" s="29" t="s">
        <v>4</v>
      </c>
    </row>
    <row r="563" spans="1:7" x14ac:dyDescent="0.3">
      <c r="A563" s="29" t="s">
        <v>424</v>
      </c>
      <c r="B563" s="30">
        <v>32356813202.692101</v>
      </c>
      <c r="C563" s="30">
        <f t="shared" ref="C563" si="682">B563-B562</f>
        <v>1852601144.8712997</v>
      </c>
      <c r="D563" s="32">
        <f t="shared" ref="D563" si="683">(B563/B562)-1</f>
        <v>6.0732633950999704E-2</v>
      </c>
      <c r="E563" s="99"/>
      <c r="F563"/>
      <c r="G563"/>
    </row>
    <row r="564" spans="1:7" x14ac:dyDescent="0.3">
      <c r="A564" s="29" t="s">
        <v>425</v>
      </c>
      <c r="B564" s="30">
        <v>33066455531.152401</v>
      </c>
      <c r="C564" s="30">
        <f t="shared" ref="C564" si="684">B564-B563</f>
        <v>709642328.46030045</v>
      </c>
      <c r="D564" s="32">
        <f t="shared" ref="D564" si="685">(B564/B563)-1</f>
        <v>2.1931774430779205E-2</v>
      </c>
      <c r="E564" s="99"/>
      <c r="F564"/>
      <c r="G564"/>
    </row>
    <row r="565" spans="1:7" x14ac:dyDescent="0.3">
      <c r="A565" s="29" t="s">
        <v>426</v>
      </c>
      <c r="B565" s="30">
        <v>32231272644.834999</v>
      </c>
      <c r="C565" s="30">
        <f t="shared" ref="C565" si="686">B565-B564</f>
        <v>-835182886.31740189</v>
      </c>
      <c r="D565" s="32">
        <f t="shared" ref="D565" si="687">(B565/B564)-1</f>
        <v>-2.5257708239413867E-2</v>
      </c>
      <c r="E565" s="99"/>
      <c r="F565"/>
      <c r="G565"/>
    </row>
    <row r="566" spans="1:7" x14ac:dyDescent="0.3">
      <c r="A566" s="29" t="s">
        <v>427</v>
      </c>
      <c r="B566" s="30">
        <v>32456786430.084499</v>
      </c>
      <c r="C566" s="30">
        <f t="shared" ref="C566" si="688">B566-B565</f>
        <v>225513785.24950027</v>
      </c>
      <c r="D566" s="32">
        <f t="shared" ref="D566" si="689">(B566/B565)-1</f>
        <v>6.9967384699480828E-3</v>
      </c>
      <c r="E566" s="99"/>
      <c r="F566"/>
      <c r="G566"/>
    </row>
    <row r="567" spans="1:7" x14ac:dyDescent="0.3">
      <c r="A567" s="29" t="s">
        <v>428</v>
      </c>
      <c r="B567" s="30">
        <v>31660518961.354198</v>
      </c>
      <c r="C567" s="30">
        <f t="shared" ref="C567" si="690">B567-B566</f>
        <v>-796267468.7303009</v>
      </c>
      <c r="D567" s="32">
        <f t="shared" ref="D567" si="691">(B567/B566)-1</f>
        <v>-2.453315797130895E-2</v>
      </c>
      <c r="E567" s="37">
        <v>125000000</v>
      </c>
      <c r="F567" s="40" t="s">
        <v>182</v>
      </c>
      <c r="G567" s="29" t="s">
        <v>1</v>
      </c>
    </row>
    <row r="568" spans="1:7" x14ac:dyDescent="0.3">
      <c r="A568" s="29" t="s">
        <v>429</v>
      </c>
      <c r="B568" s="30">
        <v>31645373206.664501</v>
      </c>
      <c r="C568" s="30">
        <f t="shared" ref="C568" si="692">B568-B567</f>
        <v>-15145754.689697266</v>
      </c>
      <c r="D568" s="32">
        <f t="shared" ref="D568" si="693">(B568/B567)-1</f>
        <v>-4.7837986194054771E-4</v>
      </c>
      <c r="E568" s="99"/>
      <c r="F568"/>
      <c r="G568"/>
    </row>
    <row r="569" spans="1:7" x14ac:dyDescent="0.3">
      <c r="A569" s="29" t="s">
        <v>430</v>
      </c>
      <c r="B569" s="30">
        <v>31711081883.4189</v>
      </c>
      <c r="C569" s="30">
        <f t="shared" ref="C569" si="694">B569-B568</f>
        <v>65708676.754398346</v>
      </c>
      <c r="D569" s="32">
        <f t="shared" ref="D569" si="695">(B569/B568)-1</f>
        <v>2.076407073011266E-3</v>
      </c>
      <c r="E569" s="99"/>
      <c r="F569"/>
      <c r="G569"/>
    </row>
    <row r="570" spans="1:7" x14ac:dyDescent="0.3">
      <c r="A570" s="29" t="s">
        <v>431</v>
      </c>
      <c r="B570" s="30">
        <v>31720551222.519875</v>
      </c>
      <c r="C570" s="30">
        <f t="shared" ref="C570" si="696">B570-B569</f>
        <v>9469339.1009750366</v>
      </c>
      <c r="D570" s="32">
        <f t="shared" ref="D570" si="697">(B570/B569)-1</f>
        <v>2.9861293082933393E-4</v>
      </c>
      <c r="E570" s="99"/>
      <c r="F570"/>
      <c r="G570"/>
    </row>
    <row r="571" spans="1:7" x14ac:dyDescent="0.3">
      <c r="A571" s="29" t="s">
        <v>432</v>
      </c>
      <c r="B571" s="30">
        <v>31659150554.077801</v>
      </c>
      <c r="C571" s="30">
        <f t="shared" ref="C571" si="698">B571-B570</f>
        <v>-61400668.442073822</v>
      </c>
      <c r="D571" s="32">
        <f t="shared" ref="D571" si="699">(B571/B570)-1</f>
        <v>-1.9356746990727425E-3</v>
      </c>
      <c r="E571" s="37">
        <v>250000000</v>
      </c>
      <c r="F571" s="46" t="s">
        <v>203</v>
      </c>
      <c r="G571" s="29" t="s">
        <v>446</v>
      </c>
    </row>
    <row r="572" spans="1:7" x14ac:dyDescent="0.3">
      <c r="A572" s="29" t="s">
        <v>433</v>
      </c>
      <c r="B572" s="30">
        <v>31686355792.761101</v>
      </c>
      <c r="C572" s="30">
        <f t="shared" ref="C572" si="700">B572-B571</f>
        <v>27205238.683300018</v>
      </c>
      <c r="D572" s="32">
        <f t="shared" ref="D572" si="701">(B572/B571)-1</f>
        <v>8.5931676015227332E-4</v>
      </c>
      <c r="E572" s="37">
        <v>100000000</v>
      </c>
      <c r="F572" s="40" t="s">
        <v>182</v>
      </c>
      <c r="G572" s="29" t="s">
        <v>447</v>
      </c>
    </row>
    <row r="573" spans="1:7" x14ac:dyDescent="0.3">
      <c r="A573" s="29" t="s">
        <v>434</v>
      </c>
      <c r="B573" s="30">
        <v>31402979240.1847</v>
      </c>
      <c r="C573" s="30">
        <f t="shared" ref="C573" si="702">B573-B572</f>
        <v>-283376552.57640076</v>
      </c>
      <c r="D573" s="32">
        <f t="shared" ref="D573" si="703">(B573/B572)-1</f>
        <v>-8.943172715403902E-3</v>
      </c>
      <c r="E573" s="99"/>
      <c r="F573"/>
      <c r="G573"/>
    </row>
    <row r="574" spans="1:7" x14ac:dyDescent="0.3">
      <c r="A574" s="29" t="s">
        <v>435</v>
      </c>
      <c r="B574" s="30">
        <v>31480728709.079201</v>
      </c>
      <c r="C574" s="30">
        <f t="shared" ref="C574" si="704">B574-B573</f>
        <v>77749468.894500732</v>
      </c>
      <c r="D574" s="32">
        <f t="shared" ref="D574" si="705">(B574/B573)-1</f>
        <v>2.4758628249834658E-3</v>
      </c>
      <c r="E574" s="99"/>
      <c r="F574"/>
      <c r="G574"/>
    </row>
    <row r="575" spans="1:7" x14ac:dyDescent="0.3">
      <c r="A575" s="29" t="s">
        <v>436</v>
      </c>
      <c r="B575" s="30">
        <v>31531611243.678532</v>
      </c>
      <c r="C575" s="30">
        <f t="shared" ref="C575" si="706">B575-B574</f>
        <v>50882534.599330902</v>
      </c>
      <c r="D575" s="32">
        <f t="shared" ref="D575" si="707">(B575/B574)-1</f>
        <v>1.6163073945825168E-3</v>
      </c>
      <c r="E575" s="99"/>
      <c r="F575"/>
      <c r="G575"/>
    </row>
    <row r="576" spans="1:7" x14ac:dyDescent="0.3">
      <c r="A576" s="29" t="s">
        <v>437</v>
      </c>
      <c r="B576" s="30">
        <v>31988092396.223701</v>
      </c>
      <c r="C576" s="30">
        <f t="shared" ref="C576" si="708">B576-B575</f>
        <v>456481152.54516983</v>
      </c>
      <c r="D576" s="32">
        <f t="shared" ref="D576" si="709">(B576/B575)-1</f>
        <v>1.4476937097107179E-2</v>
      </c>
      <c r="E576" s="99"/>
      <c r="F576"/>
      <c r="G576"/>
    </row>
    <row r="577" spans="1:7" x14ac:dyDescent="0.3">
      <c r="A577" s="29" t="s">
        <v>438</v>
      </c>
      <c r="B577" s="30">
        <v>33259879818.662201</v>
      </c>
      <c r="C577" s="30">
        <f t="shared" ref="C577" si="710">B577-B576</f>
        <v>1271787422.4384995</v>
      </c>
      <c r="D577" s="32">
        <f t="shared" ref="D577" si="711">(B577/B576)-1</f>
        <v>3.9758151461030566E-2</v>
      </c>
      <c r="E577" s="99"/>
      <c r="F577"/>
      <c r="G577"/>
    </row>
    <row r="578" spans="1:7" x14ac:dyDescent="0.3">
      <c r="A578" s="29" t="s">
        <v>439</v>
      </c>
      <c r="B578" s="30">
        <v>33757441266.370899</v>
      </c>
      <c r="C578" s="30">
        <f t="shared" ref="C578" si="712">B578-B577</f>
        <v>497561447.70869827</v>
      </c>
      <c r="D578" s="32">
        <f t="shared" ref="D578" si="713">(B578/B577)-1</f>
        <v>1.4959808947641262E-2</v>
      </c>
      <c r="E578" s="99"/>
      <c r="F578"/>
      <c r="G578"/>
    </row>
    <row r="579" spans="1:7" x14ac:dyDescent="0.3">
      <c r="A579" s="29" t="s">
        <v>440</v>
      </c>
      <c r="B579" s="30">
        <v>34184967251</v>
      </c>
      <c r="C579" s="30">
        <f t="shared" ref="C579" si="714">B579-B578</f>
        <v>427525984.6291008</v>
      </c>
      <c r="D579" s="32">
        <f t="shared" ref="D579" si="715">(B579/B578)-1</f>
        <v>1.2664644255931945E-2</v>
      </c>
      <c r="E579" s="99"/>
      <c r="F579"/>
      <c r="G579"/>
    </row>
    <row r="580" spans="1:7" x14ac:dyDescent="0.3">
      <c r="A580" s="29" t="s">
        <v>448</v>
      </c>
      <c r="B580" s="30">
        <v>34096713830.07</v>
      </c>
      <c r="C580" s="30">
        <f t="shared" ref="C580" si="716">B580-B579</f>
        <v>-88253420.930000305</v>
      </c>
      <c r="D580" s="32">
        <f t="shared" ref="D580" si="717">(B580/B579)-1</f>
        <v>-2.5816441560996273E-3</v>
      </c>
      <c r="E580" s="99"/>
      <c r="F580"/>
      <c r="G580"/>
    </row>
    <row r="581" spans="1:7" x14ac:dyDescent="0.3">
      <c r="A581" s="29" t="s">
        <v>449</v>
      </c>
      <c r="B581" s="30">
        <v>34181832114.447601</v>
      </c>
      <c r="C581" s="30">
        <f t="shared" ref="C581" si="718">B581-B580</f>
        <v>85118284.377601624</v>
      </c>
      <c r="D581" s="32">
        <f t="shared" ref="D581" si="719">(B581/B580)-1</f>
        <v>2.4963779442737088E-3</v>
      </c>
      <c r="E581" s="99"/>
      <c r="F581"/>
      <c r="G581"/>
    </row>
    <row r="582" spans="1:7" x14ac:dyDescent="0.3">
      <c r="A582" s="29" t="s">
        <v>450</v>
      </c>
      <c r="B582" s="30">
        <v>35687520365.647926</v>
      </c>
      <c r="C582" s="30">
        <f t="shared" ref="C582" si="720">B582-B581</f>
        <v>1505688251.200325</v>
      </c>
      <c r="D582" s="32">
        <f t="shared" ref="D582" si="721">(B582/B581)-1</f>
        <v>4.4049372372989781E-2</v>
      </c>
      <c r="E582" s="37">
        <v>650000000</v>
      </c>
      <c r="F582" s="40" t="s">
        <v>182</v>
      </c>
      <c r="G582" s="29" t="s">
        <v>504</v>
      </c>
    </row>
    <row r="583" spans="1:7" x14ac:dyDescent="0.3">
      <c r="A583" s="29" t="s">
        <v>451</v>
      </c>
      <c r="B583" s="30">
        <v>36173827640.334396</v>
      </c>
      <c r="C583" s="30">
        <f t="shared" ref="C583" si="722">B583-B582</f>
        <v>486307274.68647003</v>
      </c>
      <c r="D583" s="32">
        <f t="shared" ref="D583" si="723">(B583/B582)-1</f>
        <v>1.3626816032715539E-2</v>
      </c>
      <c r="E583" s="99"/>
      <c r="F583"/>
      <c r="G583"/>
    </row>
    <row r="584" spans="1:7" x14ac:dyDescent="0.3">
      <c r="A584" s="29" t="s">
        <v>452</v>
      </c>
      <c r="B584" s="30">
        <v>36210586128.737</v>
      </c>
      <c r="C584" s="30">
        <f t="shared" ref="C584" si="724">B584-B583</f>
        <v>36758488.402603149</v>
      </c>
      <c r="D584" s="32">
        <f t="shared" ref="D584" si="725">(B584/B583)-1</f>
        <v>1.0161625351921E-3</v>
      </c>
      <c r="E584" s="99"/>
      <c r="F584"/>
      <c r="G584"/>
    </row>
    <row r="585" spans="1:7" x14ac:dyDescent="0.3">
      <c r="A585" s="29" t="s">
        <v>453</v>
      </c>
      <c r="B585" s="30">
        <v>36414902077.434502</v>
      </c>
      <c r="C585" s="30">
        <f t="shared" ref="C585" si="726">B585-B584</f>
        <v>204315948.69750214</v>
      </c>
      <c r="D585" s="32">
        <f t="shared" ref="D585" si="727">(B585/B584)-1</f>
        <v>5.6424369373948569E-3</v>
      </c>
      <c r="E585" s="37">
        <v>106300000</v>
      </c>
      <c r="F585" s="40" t="s">
        <v>182</v>
      </c>
      <c r="G585" s="29" t="s">
        <v>527</v>
      </c>
    </row>
    <row r="586" spans="1:7" x14ac:dyDescent="0.3">
      <c r="A586" s="29" t="s">
        <v>454</v>
      </c>
      <c r="B586" s="30">
        <v>36857014487.154404</v>
      </c>
      <c r="C586" s="30">
        <f t="shared" ref="C586" si="728">B586-B585</f>
        <v>442112409.71990204</v>
      </c>
      <c r="D586" s="32">
        <f t="shared" ref="D586" si="729">(B586/B585)-1</f>
        <v>1.2140974834417229E-2</v>
      </c>
      <c r="E586" s="99"/>
      <c r="F586"/>
      <c r="G586"/>
    </row>
    <row r="587" spans="1:7" x14ac:dyDescent="0.3">
      <c r="A587" s="29" t="s">
        <v>455</v>
      </c>
      <c r="B587" s="30">
        <v>38696791653.958397</v>
      </c>
      <c r="C587" s="30">
        <f t="shared" ref="C587" si="730">B587-B586</f>
        <v>1839777166.8039932</v>
      </c>
      <c r="D587" s="32">
        <f t="shared" ref="D587" si="731">(B587/B586)-1</f>
        <v>4.9916608613136626E-2</v>
      </c>
      <c r="E587" s="37">
        <v>200000000</v>
      </c>
      <c r="F587" s="40" t="s">
        <v>182</v>
      </c>
      <c r="G587" s="29" t="s">
        <v>528</v>
      </c>
    </row>
    <row r="588" spans="1:7" x14ac:dyDescent="0.3">
      <c r="A588" s="29" t="s">
        <v>456</v>
      </c>
      <c r="B588" s="30">
        <v>39193287731.961601</v>
      </c>
      <c r="C588" s="30">
        <f t="shared" ref="C588" si="732">B588-B587</f>
        <v>496496078.00320435</v>
      </c>
      <c r="D588" s="32">
        <f t="shared" ref="D588" si="733">(B588/B587)-1</f>
        <v>1.2830419701019835E-2</v>
      </c>
      <c r="E588" s="99"/>
      <c r="F588"/>
      <c r="G588"/>
    </row>
    <row r="589" spans="1:7" x14ac:dyDescent="0.3">
      <c r="A589" s="29" t="s">
        <v>457</v>
      </c>
      <c r="B589" s="30">
        <v>38912648999.6492</v>
      </c>
      <c r="C589" s="30">
        <f t="shared" ref="C589" si="734">B589-B588</f>
        <v>-280638732.31240082</v>
      </c>
      <c r="D589" s="32">
        <f t="shared" ref="D589" si="735">(B589/B588)-1</f>
        <v>-7.1603774154302968E-3</v>
      </c>
      <c r="E589" s="99"/>
      <c r="F589"/>
      <c r="G589"/>
    </row>
    <row r="590" spans="1:7" x14ac:dyDescent="0.3">
      <c r="A590" s="29" t="s">
        <v>458</v>
      </c>
      <c r="B590" s="30">
        <v>39064572155.5839</v>
      </c>
      <c r="C590" s="30">
        <f t="shared" ref="C590" si="736">B590-B589</f>
        <v>151923155.93470001</v>
      </c>
      <c r="D590" s="32">
        <f t="shared" ref="D590" si="737">(B590/B589)-1</f>
        <v>3.9042100663995161E-3</v>
      </c>
      <c r="E590" s="99"/>
      <c r="F590"/>
      <c r="G590"/>
    </row>
    <row r="591" spans="1:7" x14ac:dyDescent="0.3">
      <c r="A591" s="29" t="s">
        <v>459</v>
      </c>
      <c r="B591" s="30">
        <v>40085843012.8312</v>
      </c>
      <c r="C591" s="30">
        <f t="shared" ref="C591" si="738">B591-B590</f>
        <v>1021270857.2472992</v>
      </c>
      <c r="D591" s="32">
        <f t="shared" ref="D591" si="739">(B591/B590)-1</f>
        <v>2.6143147125222477E-2</v>
      </c>
      <c r="E591" s="37">
        <v>100000000</v>
      </c>
      <c r="F591" s="40" t="s">
        <v>182</v>
      </c>
      <c r="G591" s="29" t="s">
        <v>6</v>
      </c>
    </row>
    <row r="592" spans="1:7" x14ac:dyDescent="0.3">
      <c r="A592" s="29" t="s">
        <v>460</v>
      </c>
      <c r="B592" s="30">
        <v>40400446426.025398</v>
      </c>
      <c r="C592" s="30">
        <f t="shared" ref="C592" si="740">B592-B591</f>
        <v>314603413.19419861</v>
      </c>
      <c r="D592" s="32">
        <f t="shared" ref="D592" si="741">(B592/B591)-1</f>
        <v>7.8482424105061899E-3</v>
      </c>
      <c r="E592" s="99"/>
      <c r="F592"/>
      <c r="G592"/>
    </row>
    <row r="593" spans="1:12" x14ac:dyDescent="0.3">
      <c r="A593" s="29" t="s">
        <v>461</v>
      </c>
      <c r="B593" s="30">
        <v>39986753960.715202</v>
      </c>
      <c r="C593" s="30">
        <f t="shared" ref="C593" si="742">B593-B592</f>
        <v>-413692465.31019592</v>
      </c>
      <c r="D593" s="32">
        <f t="shared" ref="D593" si="743">(B593/B592)-1</f>
        <v>-1.0239799356367985E-2</v>
      </c>
      <c r="E593" s="99"/>
      <c r="F593"/>
      <c r="G593"/>
    </row>
    <row r="594" spans="1:12" x14ac:dyDescent="0.3">
      <c r="A594" s="29" t="s">
        <v>462</v>
      </c>
      <c r="B594" s="30">
        <v>41012947068.710403</v>
      </c>
      <c r="C594" s="30">
        <f t="shared" ref="C594" si="744">B594-B593</f>
        <v>1026193107.9952011</v>
      </c>
      <c r="D594" s="32">
        <f t="shared" ref="D594" si="745">(B594/B593)-1</f>
        <v>2.5663326135534348E-2</v>
      </c>
      <c r="E594" s="99"/>
      <c r="F594"/>
      <c r="G594"/>
    </row>
    <row r="595" spans="1:12" x14ac:dyDescent="0.3">
      <c r="A595" s="29" t="s">
        <v>463</v>
      </c>
      <c r="B595" s="30">
        <v>42017147686.591202</v>
      </c>
      <c r="C595" s="30">
        <f t="shared" ref="C595" si="746">B595-B594</f>
        <v>1004200617.8807983</v>
      </c>
      <c r="D595" s="32">
        <f t="shared" ref="D595" si="747">(B595/B594)-1</f>
        <v>2.4484966081526061E-2</v>
      </c>
      <c r="E595" s="99"/>
      <c r="F595"/>
      <c r="G595"/>
    </row>
    <row r="596" spans="1:12" x14ac:dyDescent="0.3">
      <c r="A596" s="29" t="s">
        <v>464</v>
      </c>
      <c r="B596" s="30">
        <v>42805472484.875999</v>
      </c>
      <c r="C596" s="30">
        <f t="shared" ref="C596:C601" si="748">B596-B595</f>
        <v>788324798.28479767</v>
      </c>
      <c r="D596" s="32">
        <f t="shared" ref="D596:D601" si="749">(B596/B595)-1</f>
        <v>1.8761977946836428E-2</v>
      </c>
      <c r="E596" s="37">
        <v>150000000</v>
      </c>
      <c r="F596" s="40" t="s">
        <v>182</v>
      </c>
      <c r="G596" s="29" t="s">
        <v>530</v>
      </c>
    </row>
    <row r="597" spans="1:12" x14ac:dyDescent="0.3">
      <c r="A597" s="29" t="s">
        <v>465</v>
      </c>
      <c r="B597" s="30">
        <v>43092418751.231499</v>
      </c>
      <c r="C597" s="30">
        <f t="shared" si="748"/>
        <v>286946266.35549927</v>
      </c>
      <c r="D597" s="32">
        <f t="shared" si="749"/>
        <v>6.7034948967537034E-3</v>
      </c>
      <c r="E597" s="99"/>
      <c r="F597"/>
      <c r="G597"/>
    </row>
    <row r="598" spans="1:12" x14ac:dyDescent="0.3">
      <c r="A598" s="29" t="s">
        <v>466</v>
      </c>
      <c r="B598" s="30">
        <v>43229956491.269096</v>
      </c>
      <c r="C598" s="30">
        <f t="shared" si="748"/>
        <v>137537740.03759766</v>
      </c>
      <c r="D598" s="32">
        <f t="shared" si="749"/>
        <v>3.1916922749588572E-3</v>
      </c>
      <c r="E598" s="99"/>
      <c r="F598"/>
      <c r="G598"/>
    </row>
    <row r="599" spans="1:12" x14ac:dyDescent="0.3">
      <c r="A599" s="29" t="s">
        <v>467</v>
      </c>
      <c r="B599" s="30">
        <v>44178413953.294098</v>
      </c>
      <c r="C599" s="30">
        <f t="shared" si="748"/>
        <v>948457462.02500153</v>
      </c>
      <c r="D599" s="32">
        <f t="shared" si="749"/>
        <v>2.1939819953706419E-2</v>
      </c>
      <c r="E599" s="99"/>
      <c r="F599"/>
      <c r="G599"/>
    </row>
    <row r="600" spans="1:12" x14ac:dyDescent="0.3">
      <c r="A600" s="29" t="s">
        <v>468</v>
      </c>
      <c r="B600" s="30">
        <v>45320381686.271896</v>
      </c>
      <c r="C600" s="30">
        <f t="shared" si="748"/>
        <v>1141967732.9777985</v>
      </c>
      <c r="D600" s="32">
        <f t="shared" si="749"/>
        <v>2.5848997978630495E-2</v>
      </c>
      <c r="E600" s="99"/>
      <c r="F600"/>
      <c r="G600"/>
    </row>
    <row r="601" spans="1:12" x14ac:dyDescent="0.3">
      <c r="A601" s="29" t="s">
        <v>469</v>
      </c>
      <c r="B601" s="30">
        <v>46200111175.863998</v>
      </c>
      <c r="C601" s="30">
        <f t="shared" si="748"/>
        <v>879729489.59210205</v>
      </c>
      <c r="D601" s="32">
        <f t="shared" si="749"/>
        <v>1.9411343348385346E-2</v>
      </c>
      <c r="E601" s="37">
        <v>86000000</v>
      </c>
      <c r="F601" s="40" t="s">
        <v>182</v>
      </c>
      <c r="G601" s="29" t="s">
        <v>6</v>
      </c>
    </row>
    <row r="602" spans="1:12" x14ac:dyDescent="0.3">
      <c r="A602" s="29" t="s">
        <v>470</v>
      </c>
      <c r="B602" s="30">
        <v>48372338217.660004</v>
      </c>
      <c r="C602" s="30">
        <f t="shared" ref="C602" si="750">B602-B601</f>
        <v>2172227041.7960052</v>
      </c>
      <c r="D602" s="32">
        <f t="shared" ref="D602" si="751">(B602/B601)-1</f>
        <v>4.7017788193783216E-2</v>
      </c>
      <c r="E602" s="99"/>
      <c r="F602"/>
      <c r="G602"/>
    </row>
    <row r="603" spans="1:12" x14ac:dyDescent="0.3">
      <c r="A603" s="29" t="s">
        <v>471</v>
      </c>
      <c r="B603" s="30">
        <v>50158869169.382004</v>
      </c>
      <c r="C603" s="30">
        <f t="shared" ref="C603" si="752">B603-B602</f>
        <v>1786530951.7220001</v>
      </c>
      <c r="D603" s="32">
        <f t="shared" ref="D603" si="753">(B603/B602)-1</f>
        <v>3.6932904580365467E-2</v>
      </c>
      <c r="E603" s="99"/>
      <c r="F603"/>
      <c r="G603"/>
    </row>
    <row r="604" spans="1:12" x14ac:dyDescent="0.3">
      <c r="A604" s="29" t="s">
        <v>472</v>
      </c>
      <c r="B604" s="30">
        <v>51514749240.931999</v>
      </c>
      <c r="C604" s="30">
        <f t="shared" ref="C604" si="754">B604-B603</f>
        <v>1355880071.5499954</v>
      </c>
      <c r="D604" s="32">
        <f t="shared" ref="D604" si="755">(B604/B603)-1</f>
        <v>2.7031711320510743E-2</v>
      </c>
      <c r="E604" s="99"/>
      <c r="F604"/>
      <c r="G604"/>
    </row>
    <row r="605" spans="1:12" x14ac:dyDescent="0.3">
      <c r="A605" s="29" t="s">
        <v>473</v>
      </c>
      <c r="B605" s="30">
        <v>50396495303.592003</v>
      </c>
      <c r="C605" s="30">
        <f t="shared" ref="C605" si="756">B605-B604</f>
        <v>-1118253937.3399963</v>
      </c>
      <c r="D605" s="32">
        <f t="shared" ref="D605" si="757">(B605/B604)-1</f>
        <v>-2.1707451823359869E-2</v>
      </c>
      <c r="E605" s="99"/>
      <c r="F605"/>
      <c r="G605"/>
    </row>
    <row r="606" spans="1:12" x14ac:dyDescent="0.3">
      <c r="A606" s="29" t="s">
        <v>474</v>
      </c>
      <c r="B606" s="30">
        <v>47826443440.527817</v>
      </c>
      <c r="C606" s="30">
        <f t="shared" ref="C606" si="758">B606-B605</f>
        <v>-2570051863.0641861</v>
      </c>
      <c r="D606" s="32">
        <f t="shared" ref="D606" si="759">(B606/B605)-1</f>
        <v>-5.0996638706362729E-2</v>
      </c>
      <c r="E606" s="99"/>
      <c r="F606"/>
      <c r="G606"/>
    </row>
    <row r="607" spans="1:12" x14ac:dyDescent="0.3">
      <c r="A607" s="29" t="s">
        <v>475</v>
      </c>
      <c r="B607" s="30">
        <v>45382957113.400299</v>
      </c>
      <c r="C607" s="30">
        <f t="shared" ref="C607" si="760">B607-B606</f>
        <v>-2443486327.1275177</v>
      </c>
      <c r="D607" s="32">
        <f t="shared" ref="D607" si="761">(B607/B606)-1</f>
        <v>-5.1090696931416102E-2</v>
      </c>
      <c r="E607" s="99"/>
      <c r="F607"/>
      <c r="G607" s="30"/>
      <c r="H607" s="47"/>
      <c r="I607"/>
      <c r="J607"/>
      <c r="K607"/>
      <c r="L607"/>
    </row>
    <row r="608" spans="1:12" x14ac:dyDescent="0.3">
      <c r="A608" s="29" t="s">
        <v>476</v>
      </c>
      <c r="B608" s="30">
        <v>43621954797.589401</v>
      </c>
      <c r="C608" s="30">
        <f t="shared" ref="C608" si="762">B608-B607</f>
        <v>-1761002315.8108978</v>
      </c>
      <c r="D608" s="32">
        <f t="shared" ref="D608" si="763">(B608/B607)-1</f>
        <v>-3.880316373855075E-2</v>
      </c>
      <c r="E608" s="99"/>
      <c r="F608"/>
      <c r="G608" s="48"/>
      <c r="H608" s="47"/>
      <c r="I608"/>
      <c r="J608"/>
      <c r="K608"/>
      <c r="L608"/>
    </row>
    <row r="609" spans="1:12" x14ac:dyDescent="0.3">
      <c r="A609" s="29" t="s">
        <v>477</v>
      </c>
      <c r="B609" s="30">
        <v>41118107063.656998</v>
      </c>
      <c r="C609" s="30">
        <f t="shared" ref="C609" si="764">B609-B608</f>
        <v>-2503847733.9324036</v>
      </c>
      <c r="D609" s="32">
        <f t="shared" ref="D609" si="765">(B609/B608)-1</f>
        <v>-5.73987971320985E-2</v>
      </c>
      <c r="E609" s="99"/>
      <c r="F609"/>
      <c r="G609"/>
      <c r="H609"/>
      <c r="I609"/>
      <c r="J609"/>
      <c r="K609"/>
      <c r="L609"/>
    </row>
    <row r="610" spans="1:12" x14ac:dyDescent="0.3">
      <c r="A610" s="29" t="s">
        <v>478</v>
      </c>
      <c r="B610" s="30">
        <v>40527120075.851601</v>
      </c>
      <c r="C610" s="30">
        <f t="shared" ref="C610" si="766">B610-B609</f>
        <v>-590986987.80539703</v>
      </c>
      <c r="D610" s="32">
        <f t="shared" ref="D610" si="767">(B610/B609)-1</f>
        <v>-1.4372913298038248E-2</v>
      </c>
      <c r="E610" s="99"/>
      <c r="F610"/>
      <c r="G610"/>
      <c r="H610"/>
      <c r="I610"/>
      <c r="J610"/>
      <c r="K610"/>
      <c r="L610"/>
    </row>
    <row r="611" spans="1:12" x14ac:dyDescent="0.3">
      <c r="A611" s="29" t="s">
        <v>479</v>
      </c>
      <c r="B611" s="30">
        <v>40158821976.506958</v>
      </c>
      <c r="C611" s="30">
        <f t="shared" ref="C611" si="768">B611-B610</f>
        <v>-368298099.34464264</v>
      </c>
      <c r="D611" s="32">
        <f t="shared" ref="D611" si="769">(B611/B610)-1</f>
        <v>-9.0876948239926314E-3</v>
      </c>
      <c r="E611" s="37">
        <v>400000000</v>
      </c>
      <c r="F611" s="40" t="s">
        <v>182</v>
      </c>
      <c r="G611" s="29" t="s">
        <v>5</v>
      </c>
      <c r="H611"/>
      <c r="I611"/>
      <c r="J611"/>
      <c r="K611"/>
      <c r="L611"/>
    </row>
    <row r="612" spans="1:12" x14ac:dyDescent="0.3">
      <c r="A612" s="29" t="s">
        <v>480</v>
      </c>
      <c r="B612" s="30">
        <v>41188726415.761559</v>
      </c>
      <c r="C612" s="30">
        <f t="shared" ref="C612" si="770">B612-B611</f>
        <v>1029904439.2546005</v>
      </c>
      <c r="D612" s="32">
        <f t="shared" ref="D612" si="771">(B612/B611)-1</f>
        <v>2.5645783132211886E-2</v>
      </c>
      <c r="E612" s="30"/>
      <c r="F612"/>
      <c r="G612"/>
      <c r="H612"/>
      <c r="I612"/>
      <c r="J612"/>
      <c r="K612"/>
      <c r="L612"/>
    </row>
    <row r="613" spans="1:12" x14ac:dyDescent="0.3">
      <c r="A613" s="29" t="s">
        <v>481</v>
      </c>
      <c r="B613" s="30">
        <v>41824672486.415993</v>
      </c>
      <c r="C613" s="30">
        <f t="shared" ref="C613" si="772">B613-B612</f>
        <v>635946070.6544342</v>
      </c>
      <c r="D613" s="32">
        <f t="shared" ref="D613" si="773">(B613/B612)-1</f>
        <v>1.5439809044716535E-2</v>
      </c>
      <c r="E613" s="37">
        <v>8000000</v>
      </c>
      <c r="F613" s="40" t="s">
        <v>182</v>
      </c>
      <c r="G613" s="29" t="s">
        <v>531</v>
      </c>
      <c r="H613"/>
      <c r="I613"/>
      <c r="J613"/>
      <c r="K613"/>
      <c r="L613"/>
    </row>
    <row r="614" spans="1:12" x14ac:dyDescent="0.3">
      <c r="A614" s="29" t="s">
        <v>482</v>
      </c>
      <c r="B614" s="30">
        <v>41938411047.775742</v>
      </c>
      <c r="C614" s="30">
        <f t="shared" ref="C614" si="774">B614-B613</f>
        <v>113738561.35974884</v>
      </c>
      <c r="D614" s="32">
        <f t="shared" ref="D614" si="775">(B614/B613)-1</f>
        <v>2.7194130784093939E-3</v>
      </c>
      <c r="E614" s="99"/>
      <c r="F614"/>
      <c r="G614"/>
      <c r="H614"/>
      <c r="I614"/>
      <c r="J614"/>
      <c r="K614"/>
      <c r="L614"/>
    </row>
    <row r="615" spans="1:12" x14ac:dyDescent="0.3">
      <c r="A615" s="29" t="s">
        <v>483</v>
      </c>
      <c r="B615" s="30">
        <v>42118492944.172844</v>
      </c>
      <c r="C615" s="30">
        <f t="shared" ref="C615" si="776">B615-B614</f>
        <v>180081896.39710236</v>
      </c>
      <c r="D615" s="32">
        <f t="shared" ref="D615" si="777">(B615/B614)-1</f>
        <v>4.2939608797281092E-3</v>
      </c>
      <c r="E615" s="37">
        <v>95000000</v>
      </c>
      <c r="F615" s="40" t="s">
        <v>182</v>
      </c>
      <c r="G615" s="29" t="s">
        <v>532</v>
      </c>
      <c r="H615" s="137">
        <v>243.3992862216416</v>
      </c>
      <c r="I615" s="137"/>
      <c r="J615" s="137" t="s">
        <v>1081</v>
      </c>
      <c r="K615" s="137"/>
      <c r="L615" s="137"/>
    </row>
    <row r="616" spans="1:12" x14ac:dyDescent="0.3">
      <c r="A616" s="29" t="s">
        <v>484</v>
      </c>
      <c r="B616" s="30">
        <v>43427134736.447014</v>
      </c>
      <c r="C616" s="30">
        <f t="shared" ref="C616" si="778">B616-B615</f>
        <v>1308641792.2741699</v>
      </c>
      <c r="D616" s="32">
        <f t="shared" ref="D616" si="779">(B616/B615)-1</f>
        <v>3.1070479991027744E-2</v>
      </c>
      <c r="E616" s="99"/>
      <c r="F616"/>
      <c r="G616"/>
      <c r="H616" s="137">
        <v>663.81623514993169</v>
      </c>
      <c r="I616" s="137"/>
      <c r="J616" s="137" t="s">
        <v>1082</v>
      </c>
      <c r="K616" s="137"/>
      <c r="L616" s="137"/>
    </row>
    <row r="617" spans="1:12" x14ac:dyDescent="0.3">
      <c r="A617" s="29" t="s">
        <v>485</v>
      </c>
      <c r="B617" s="30">
        <v>43453355305.521088</v>
      </c>
      <c r="C617" s="30">
        <f t="shared" ref="C617" si="780">B617-B616</f>
        <v>26220569.074073792</v>
      </c>
      <c r="D617" s="32">
        <f t="shared" ref="D617" si="781">(B617/B616)-1</f>
        <v>6.0378307786601582E-4</v>
      </c>
      <c r="E617" s="99"/>
      <c r="F617"/>
      <c r="G617"/>
      <c r="H617"/>
      <c r="I617"/>
      <c r="J617"/>
      <c r="K617"/>
      <c r="L617"/>
    </row>
    <row r="618" spans="1:12" x14ac:dyDescent="0.3">
      <c r="A618" s="29" t="s">
        <v>486</v>
      </c>
      <c r="B618" s="30">
        <v>42063261164.438713</v>
      </c>
      <c r="C618" s="30">
        <f t="shared" ref="C618" si="782">B618-B617</f>
        <v>-1390094141.0823746</v>
      </c>
      <c r="D618" s="32">
        <f t="shared" ref="D618" si="783">(B618/B617)-1</f>
        <v>-3.1990490292604701E-2</v>
      </c>
      <c r="E618" s="37">
        <v>263000000</v>
      </c>
      <c r="F618" s="40" t="s">
        <v>182</v>
      </c>
      <c r="G618" s="29" t="s">
        <v>533</v>
      </c>
      <c r="H618"/>
      <c r="I618"/>
      <c r="J618"/>
      <c r="K618"/>
      <c r="L618"/>
    </row>
    <row r="619" spans="1:12" x14ac:dyDescent="0.3">
      <c r="A619" s="29" t="s">
        <v>487</v>
      </c>
      <c r="B619" s="30">
        <v>39925680319.596733</v>
      </c>
      <c r="C619" s="30">
        <f t="shared" ref="C619" si="784">B619-B618</f>
        <v>-2137580844.84198</v>
      </c>
      <c r="D619" s="32">
        <f t="shared" ref="D619" si="785">(B619/B618)-1</f>
        <v>-5.0818238664032567E-2</v>
      </c>
      <c r="E619" s="99"/>
      <c r="F619"/>
      <c r="G619"/>
      <c r="H619"/>
      <c r="I619"/>
      <c r="J619"/>
      <c r="K619"/>
      <c r="L619"/>
    </row>
    <row r="620" spans="1:12" x14ac:dyDescent="0.3">
      <c r="A620" s="29" t="s">
        <v>488</v>
      </c>
      <c r="B620" s="30">
        <v>39592511706.373985</v>
      </c>
      <c r="C620" s="30">
        <f t="shared" ref="C620" si="786">B620-B619</f>
        <v>-333168613.2227478</v>
      </c>
      <c r="D620" s="32">
        <f t="shared" ref="D620" si="787">(B620/B619)-1</f>
        <v>-8.3447197531965056E-3</v>
      </c>
      <c r="E620" s="99"/>
      <c r="F620"/>
      <c r="G620"/>
      <c r="H620"/>
      <c r="I620"/>
      <c r="J620"/>
      <c r="K620"/>
      <c r="L620"/>
    </row>
    <row r="621" spans="1:12" x14ac:dyDescent="0.3">
      <c r="A621" s="29" t="s">
        <v>489</v>
      </c>
      <c r="B621" s="30">
        <v>40723961372.644844</v>
      </c>
      <c r="C621" s="30">
        <f t="shared" ref="C621" si="788">B621-B620</f>
        <v>1131449666.2708588</v>
      </c>
      <c r="D621" s="32">
        <f t="shared" ref="D621" si="789">(B621/B620)-1</f>
        <v>2.857736520132681E-2</v>
      </c>
      <c r="E621" s="99"/>
      <c r="F621"/>
      <c r="G621"/>
      <c r="H621"/>
      <c r="I621"/>
      <c r="J621"/>
      <c r="K621"/>
      <c r="L621"/>
    </row>
    <row r="622" spans="1:12" x14ac:dyDescent="0.3">
      <c r="A622" s="29" t="s">
        <v>490</v>
      </c>
      <c r="B622" s="30">
        <v>39265549320.327698</v>
      </c>
      <c r="C622" s="30">
        <f t="shared" ref="C622" si="790">B622-B621</f>
        <v>-1458412052.3171463</v>
      </c>
      <c r="D622" s="32">
        <f t="shared" ref="D622" si="791">(B622/B621)-1</f>
        <v>-3.5812136225450653E-2</v>
      </c>
      <c r="E622" s="99"/>
      <c r="F622"/>
      <c r="G622"/>
      <c r="H622"/>
      <c r="I622"/>
      <c r="J622"/>
      <c r="K622"/>
      <c r="L622"/>
    </row>
    <row r="623" spans="1:12" x14ac:dyDescent="0.3">
      <c r="A623" s="29" t="s">
        <v>491</v>
      </c>
      <c r="B623" s="30">
        <v>40073658871.859581</v>
      </c>
      <c r="C623" s="30">
        <f t="shared" ref="C623" si="792">B623-B622</f>
        <v>808109551.53188324</v>
      </c>
      <c r="D623" s="32">
        <f t="shared" ref="D623" si="793">(B623/B622)-1</f>
        <v>2.0580625141376263E-2</v>
      </c>
      <c r="E623" s="99"/>
      <c r="F623"/>
      <c r="G623"/>
    </row>
    <row r="624" spans="1:12" x14ac:dyDescent="0.3">
      <c r="A624" s="29" t="s">
        <v>492</v>
      </c>
      <c r="B624" s="30">
        <v>41165143316.761703</v>
      </c>
      <c r="C624" s="30">
        <f t="shared" ref="C624" si="794">B624-B623</f>
        <v>1091484444.9021225</v>
      </c>
      <c r="D624" s="32">
        <f t="shared" ref="D624" si="795">(B624/B623)-1</f>
        <v>2.7236955038028254E-2</v>
      </c>
      <c r="E624" s="37">
        <v>49000000</v>
      </c>
      <c r="F624" s="40" t="s">
        <v>182</v>
      </c>
      <c r="G624" s="29" t="s">
        <v>6</v>
      </c>
    </row>
    <row r="625" spans="1:7" x14ac:dyDescent="0.3">
      <c r="A625" s="29" t="s">
        <v>493</v>
      </c>
      <c r="B625" s="30">
        <v>41234149708.716576</v>
      </c>
      <c r="C625" s="30">
        <f t="shared" ref="C625" si="796">B625-B624</f>
        <v>69006391.954872131</v>
      </c>
      <c r="D625" s="32">
        <f t="shared" ref="D625" si="797">(B625/B624)-1</f>
        <v>1.6763306621787599E-3</v>
      </c>
      <c r="E625" s="37">
        <v>50000000</v>
      </c>
      <c r="F625" s="46" t="s">
        <v>203</v>
      </c>
      <c r="G625" s="29" t="s">
        <v>575</v>
      </c>
    </row>
    <row r="626" spans="1:7" x14ac:dyDescent="0.3">
      <c r="A626" s="29" t="s">
        <v>494</v>
      </c>
      <c r="B626" s="30">
        <v>38993767897.715286</v>
      </c>
      <c r="C626" s="30">
        <f t="shared" ref="C626" si="798">B626-B625</f>
        <v>-2240381811.0012894</v>
      </c>
      <c r="D626" s="32">
        <f t="shared" ref="D626" si="799">(B626/B625)-1</f>
        <v>-5.4333163817555041E-2</v>
      </c>
      <c r="E626" s="99"/>
      <c r="F626"/>
      <c r="G626"/>
    </row>
    <row r="627" spans="1:7" x14ac:dyDescent="0.3">
      <c r="A627" s="29" t="s">
        <v>495</v>
      </c>
      <c r="B627" s="30">
        <v>38498666697</v>
      </c>
      <c r="C627" s="30">
        <f t="shared" ref="C627:C632" si="800">B627-B626</f>
        <v>-495101200.71528625</v>
      </c>
      <c r="D627" s="32">
        <f t="shared" ref="D627:D632" si="801">(B627/B626)-1</f>
        <v>-1.2696931520287724E-2</v>
      </c>
      <c r="E627" s="37">
        <v>45000000</v>
      </c>
      <c r="F627" s="40" t="s">
        <v>182</v>
      </c>
      <c r="G627" s="29" t="s">
        <v>576</v>
      </c>
    </row>
    <row r="628" spans="1:7" x14ac:dyDescent="0.3">
      <c r="A628" s="29" t="s">
        <v>496</v>
      </c>
      <c r="B628" s="30">
        <v>37000870241.380112</v>
      </c>
      <c r="C628" s="30">
        <f t="shared" si="800"/>
        <v>-1497796455.6198883</v>
      </c>
      <c r="D628" s="32">
        <f t="shared" si="801"/>
        <v>-3.890515137597228E-2</v>
      </c>
      <c r="E628" s="37">
        <v>6000000</v>
      </c>
      <c r="F628" s="40" t="s">
        <v>182</v>
      </c>
      <c r="G628" s="29" t="s">
        <v>577</v>
      </c>
    </row>
    <row r="629" spans="1:7" x14ac:dyDescent="0.3">
      <c r="A629" s="29" t="s">
        <v>497</v>
      </c>
      <c r="B629" s="30">
        <v>37213876205.420792</v>
      </c>
      <c r="C629" s="30">
        <f t="shared" si="800"/>
        <v>213005964.04067993</v>
      </c>
      <c r="D629" s="32">
        <f t="shared" si="801"/>
        <v>5.7567825473050505E-3</v>
      </c>
      <c r="E629" s="99"/>
      <c r="F629"/>
      <c r="G629"/>
    </row>
    <row r="630" spans="1:7" x14ac:dyDescent="0.3">
      <c r="A630" s="29" t="s">
        <v>498</v>
      </c>
      <c r="B630" s="30">
        <v>38184295334.319229</v>
      </c>
      <c r="C630" s="30">
        <f t="shared" si="800"/>
        <v>970419128.8984375</v>
      </c>
      <c r="D630" s="32">
        <f t="shared" si="801"/>
        <v>2.6076808649056593E-2</v>
      </c>
      <c r="E630" s="99"/>
      <c r="F630"/>
      <c r="G630"/>
    </row>
    <row r="631" spans="1:7" x14ac:dyDescent="0.3">
      <c r="A631" s="29" t="s">
        <v>499</v>
      </c>
      <c r="B631" s="30">
        <v>37943895824.249779</v>
      </c>
      <c r="C631" s="30">
        <f t="shared" si="800"/>
        <v>-240399510.06945038</v>
      </c>
      <c r="D631" s="32">
        <f t="shared" si="801"/>
        <v>-6.2957691889991008E-3</v>
      </c>
      <c r="E631" s="99"/>
      <c r="F631"/>
      <c r="G631"/>
    </row>
    <row r="632" spans="1:7" x14ac:dyDescent="0.3">
      <c r="A632" s="29" t="s">
        <v>500</v>
      </c>
      <c r="B632" s="30">
        <v>36439335394.645454</v>
      </c>
      <c r="C632" s="30">
        <f t="shared" si="800"/>
        <v>-1504560429.6043243</v>
      </c>
      <c r="D632" s="32">
        <f t="shared" si="801"/>
        <v>-3.9652239099886133E-2</v>
      </c>
      <c r="E632" s="99"/>
      <c r="F632"/>
      <c r="G632"/>
    </row>
    <row r="633" spans="1:7" x14ac:dyDescent="0.3">
      <c r="A633" s="29" t="s">
        <v>501</v>
      </c>
      <c r="B633" s="30">
        <v>36998303533.041557</v>
      </c>
      <c r="C633" s="30">
        <f t="shared" ref="C633" si="802">B633-B632</f>
        <v>558968138.39610291</v>
      </c>
      <c r="D633" s="32">
        <f t="shared" ref="D633" si="803">(B633/B632)-1</f>
        <v>1.5339690813302775E-2</v>
      </c>
      <c r="E633" s="99"/>
      <c r="F633"/>
      <c r="G633"/>
    </row>
    <row r="634" spans="1:7" x14ac:dyDescent="0.3">
      <c r="A634" s="29" t="s">
        <v>502</v>
      </c>
      <c r="B634" s="30">
        <v>36534097816.689148</v>
      </c>
      <c r="C634" s="30">
        <f t="shared" ref="C634:C640" si="804">B634-B633</f>
        <v>-464205716.35240936</v>
      </c>
      <c r="D634" s="32">
        <f t="shared" ref="D634:D639" si="805">(B634/B633)-1</f>
        <v>-1.2546675712789002E-2</v>
      </c>
      <c r="E634" s="99"/>
      <c r="F634"/>
      <c r="G634"/>
    </row>
    <row r="635" spans="1:7" x14ac:dyDescent="0.3">
      <c r="A635" s="29" t="s">
        <v>503</v>
      </c>
      <c r="B635" s="30">
        <v>37783542301.526802</v>
      </c>
      <c r="C635" s="30">
        <f t="shared" si="804"/>
        <v>1249444484.8376541</v>
      </c>
      <c r="D635" s="32">
        <f t="shared" si="805"/>
        <v>3.4199407115697245E-2</v>
      </c>
      <c r="E635" s="99"/>
      <c r="F635"/>
      <c r="G635"/>
    </row>
    <row r="636" spans="1:7" x14ac:dyDescent="0.3">
      <c r="A636" s="29" t="s">
        <v>505</v>
      </c>
      <c r="B636" s="30">
        <v>38475284595.318558</v>
      </c>
      <c r="C636" s="30">
        <f t="shared" si="804"/>
        <v>691742293.79175568</v>
      </c>
      <c r="D636" s="32">
        <f t="shared" si="805"/>
        <v>1.8308031795203128E-2</v>
      </c>
      <c r="E636" s="37">
        <v>74000000</v>
      </c>
      <c r="F636" s="40" t="s">
        <v>182</v>
      </c>
      <c r="G636" s="29" t="s">
        <v>532</v>
      </c>
    </row>
    <row r="637" spans="1:7" x14ac:dyDescent="0.3">
      <c r="A637" s="29" t="s">
        <v>506</v>
      </c>
      <c r="B637" s="30">
        <v>39392673935.670082</v>
      </c>
      <c r="C637" s="30">
        <f t="shared" si="804"/>
        <v>917389340.35152435</v>
      </c>
      <c r="D637" s="32">
        <f t="shared" si="805"/>
        <v>2.3843601158525241E-2</v>
      </c>
      <c r="E637" s="37">
        <v>50000000</v>
      </c>
      <c r="F637" s="40" t="s">
        <v>182</v>
      </c>
      <c r="G637" s="29" t="s">
        <v>4</v>
      </c>
    </row>
    <row r="638" spans="1:7" x14ac:dyDescent="0.3">
      <c r="A638" s="29" t="s">
        <v>507</v>
      </c>
      <c r="B638" s="30">
        <v>39488727623.540802</v>
      </c>
      <c r="C638" s="30">
        <f t="shared" si="804"/>
        <v>96053687.87071991</v>
      </c>
      <c r="D638" s="32">
        <f t="shared" si="805"/>
        <v>2.4383642508649661E-3</v>
      </c>
      <c r="E638" s="37">
        <v>650000000</v>
      </c>
      <c r="F638" s="46" t="s">
        <v>203</v>
      </c>
      <c r="G638" s="29" t="s">
        <v>581</v>
      </c>
    </row>
    <row r="639" spans="1:7" x14ac:dyDescent="0.3">
      <c r="A639" s="29" t="s">
        <v>508</v>
      </c>
      <c r="B639" s="30">
        <v>39479238475.285721</v>
      </c>
      <c r="C639" s="30">
        <f t="shared" si="804"/>
        <v>-9489148.2550811768</v>
      </c>
      <c r="D639" s="32">
        <f t="shared" si="805"/>
        <v>-2.4030017744669507E-4</v>
      </c>
      <c r="E639" s="99"/>
      <c r="F639"/>
      <c r="G639"/>
    </row>
    <row r="640" spans="1:7" x14ac:dyDescent="0.3">
      <c r="A640" s="29" t="s">
        <v>509</v>
      </c>
      <c r="B640" s="30">
        <v>39733658266.742203</v>
      </c>
      <c r="C640" s="30">
        <f t="shared" si="804"/>
        <v>254419791.45648193</v>
      </c>
      <c r="D640" s="32">
        <f t="shared" ref="D640" si="806">(B640/B639)-1</f>
        <v>6.4443946054266732E-3</v>
      </c>
      <c r="E640" s="99"/>
      <c r="F640"/>
      <c r="G640"/>
    </row>
    <row r="641" spans="1:7" x14ac:dyDescent="0.3">
      <c r="A641" s="29" t="s">
        <v>510</v>
      </c>
      <c r="B641" s="30">
        <v>40371889102.44828</v>
      </c>
      <c r="C641" s="30">
        <f t="shared" ref="C641" si="807">B641-B640</f>
        <v>638230835.70607758</v>
      </c>
      <c r="D641" s="32">
        <f t="shared" ref="D641" si="808">(B641/B640)-1</f>
        <v>1.606272524471497E-2</v>
      </c>
      <c r="E641" s="99"/>
      <c r="F641"/>
      <c r="G641"/>
    </row>
    <row r="642" spans="1:7" x14ac:dyDescent="0.3">
      <c r="A642" s="29" t="s">
        <v>511</v>
      </c>
      <c r="B642" s="30">
        <v>40912541846.830162</v>
      </c>
      <c r="C642" s="30">
        <f t="shared" ref="C642" si="809">B642-B641</f>
        <v>540652744.38188171</v>
      </c>
      <c r="D642" s="32">
        <f t="shared" ref="D642" si="810">(B642/B641)-1</f>
        <v>1.3391811886976912E-2</v>
      </c>
      <c r="E642" s="99"/>
      <c r="F642"/>
      <c r="G642"/>
    </row>
    <row r="643" spans="1:7" x14ac:dyDescent="0.3">
      <c r="A643" s="29" t="s">
        <v>512</v>
      </c>
      <c r="B643" s="30">
        <v>41833455035.650726</v>
      </c>
      <c r="C643" s="30">
        <f t="shared" ref="C643" si="811">B643-B642</f>
        <v>920913188.82056427</v>
      </c>
      <c r="D643" s="32">
        <f t="shared" ref="D643" si="812">(B643/B642)-1</f>
        <v>2.2509312480957888E-2</v>
      </c>
      <c r="E643" s="37">
        <v>87500000</v>
      </c>
      <c r="F643" s="40" t="s">
        <v>182</v>
      </c>
      <c r="G643" s="29" t="s">
        <v>6</v>
      </c>
    </row>
    <row r="644" spans="1:7" x14ac:dyDescent="0.3">
      <c r="A644" s="29" t="s">
        <v>513</v>
      </c>
      <c r="B644" s="30">
        <v>41781896731.058403</v>
      </c>
      <c r="C644" s="30">
        <f t="shared" ref="C644" si="813">B644-B643</f>
        <v>-51558304.592323303</v>
      </c>
      <c r="D644" s="32">
        <f t="shared" ref="D644" si="814">(B644/B643)-1</f>
        <v>-1.2324658469731187E-3</v>
      </c>
      <c r="E644" s="99"/>
      <c r="F644"/>
      <c r="G644"/>
    </row>
    <row r="645" spans="1:7" x14ac:dyDescent="0.3">
      <c r="A645" s="29" t="s">
        <v>514</v>
      </c>
      <c r="B645" s="30">
        <v>40755833496.746407</v>
      </c>
      <c r="C645" s="30">
        <f t="shared" ref="C645" si="815">B645-B644</f>
        <v>-1026063234.3119965</v>
      </c>
      <c r="D645" s="32">
        <f t="shared" ref="D645" si="816">(B645/B644)-1</f>
        <v>-2.4557603043168563E-2</v>
      </c>
      <c r="E645" s="37">
        <v>200000000</v>
      </c>
      <c r="F645" s="46" t="s">
        <v>203</v>
      </c>
      <c r="G645" s="29" t="s">
        <v>582</v>
      </c>
    </row>
    <row r="646" spans="1:7" x14ac:dyDescent="0.3">
      <c r="A646" s="29" t="s">
        <v>515</v>
      </c>
      <c r="B646" s="30">
        <v>40148144299.992798</v>
      </c>
      <c r="C646" s="30">
        <f t="shared" ref="C646" si="817">B646-B645</f>
        <v>-607689196.7536087</v>
      </c>
      <c r="D646" s="32">
        <f t="shared" ref="D646" si="818">(B646/B645)-1</f>
        <v>-1.4910483840359201E-2</v>
      </c>
      <c r="E646" s="99"/>
      <c r="F646"/>
      <c r="G646"/>
    </row>
    <row r="647" spans="1:7" x14ac:dyDescent="0.3">
      <c r="A647" s="29" t="s">
        <v>516</v>
      </c>
      <c r="B647" s="30">
        <v>39424582540.56321</v>
      </c>
      <c r="C647" s="30">
        <f t="shared" ref="C647" si="819">B647-B646</f>
        <v>-723561759.42958832</v>
      </c>
      <c r="D647" s="32">
        <f t="shared" ref="D647" si="820">(B647/B646)-1</f>
        <v>-1.8022296473356958E-2</v>
      </c>
      <c r="E647" s="99"/>
      <c r="F647"/>
      <c r="G647"/>
    </row>
    <row r="648" spans="1:7" x14ac:dyDescent="0.3">
      <c r="A648" s="29" t="s">
        <v>517</v>
      </c>
      <c r="B648" s="30">
        <v>38726716852.090408</v>
      </c>
      <c r="C648" s="30">
        <f t="shared" ref="C648" si="821">B648-B647</f>
        <v>-697865688.47280121</v>
      </c>
      <c r="D648" s="32">
        <f t="shared" ref="D648" si="822">(B648/B647)-1</f>
        <v>-1.7701282892590653E-2</v>
      </c>
      <c r="E648" s="99"/>
      <c r="F648"/>
      <c r="G648"/>
    </row>
    <row r="649" spans="1:7" x14ac:dyDescent="0.3">
      <c r="A649" s="29" t="s">
        <v>518</v>
      </c>
      <c r="B649" s="30">
        <v>37364919623.544792</v>
      </c>
      <c r="C649" s="30">
        <f t="shared" ref="C649" si="823">B649-B648</f>
        <v>-1361797228.5456161</v>
      </c>
      <c r="D649" s="32">
        <f t="shared" ref="D649" si="824">(B649/B648)-1</f>
        <v>-3.5164282935389313E-2</v>
      </c>
      <c r="E649" s="99"/>
      <c r="F649"/>
      <c r="G649"/>
    </row>
    <row r="650" spans="1:7" x14ac:dyDescent="0.3">
      <c r="A650" s="29" t="s">
        <v>519</v>
      </c>
      <c r="B650" s="30">
        <v>36363335787.564796</v>
      </c>
      <c r="C650" s="30">
        <f t="shared" ref="C650" si="825">B650-B649</f>
        <v>-1001583835.9799957</v>
      </c>
      <c r="D650" s="32">
        <f t="shared" ref="D650" si="826">(B650/B649)-1</f>
        <v>-2.6805459400717324E-2</v>
      </c>
      <c r="E650" s="99"/>
      <c r="F650"/>
      <c r="G650"/>
    </row>
    <row r="651" spans="1:7" x14ac:dyDescent="0.3">
      <c r="A651" s="29" t="s">
        <v>520</v>
      </c>
      <c r="B651" s="30">
        <v>36525272202.423203</v>
      </c>
      <c r="C651" s="30">
        <f t="shared" ref="C651" si="827">B651-B650</f>
        <v>161936414.85840607</v>
      </c>
      <c r="D651" s="32">
        <f t="shared" ref="D651" si="828">(B651/B650)-1</f>
        <v>4.4532882187828804E-3</v>
      </c>
      <c r="E651" s="99"/>
      <c r="F651"/>
      <c r="G651"/>
    </row>
    <row r="652" spans="1:7" x14ac:dyDescent="0.3">
      <c r="A652" s="29" t="s">
        <v>521</v>
      </c>
      <c r="B652" s="30">
        <v>35480005448.145599</v>
      </c>
      <c r="C652" s="30">
        <f t="shared" ref="C652" si="829">B652-B651</f>
        <v>-1045266754.2776031</v>
      </c>
      <c r="D652" s="32">
        <f t="shared" ref="D652" si="830">(B652/B651)-1</f>
        <v>-2.8617630786835213E-2</v>
      </c>
      <c r="E652" s="99"/>
      <c r="F652"/>
      <c r="G652"/>
    </row>
    <row r="653" spans="1:7" x14ac:dyDescent="0.3">
      <c r="A653" s="29" t="s">
        <v>522</v>
      </c>
      <c r="B653" s="30">
        <v>34403935059.280792</v>
      </c>
      <c r="C653" s="30">
        <f t="shared" ref="C653:C654" si="831">B653-B652</f>
        <v>-1076070388.8648071</v>
      </c>
      <c r="D653" s="32">
        <f t="shared" ref="D653:D654" si="832">(B653/B652)-1</f>
        <v>-3.0328924003055646E-2</v>
      </c>
      <c r="E653" s="99"/>
      <c r="F653"/>
      <c r="G653"/>
    </row>
    <row r="654" spans="1:7" x14ac:dyDescent="0.3">
      <c r="A654" s="29" t="s">
        <v>523</v>
      </c>
      <c r="B654" s="30">
        <v>35144201300.193596</v>
      </c>
      <c r="C654" s="30">
        <f t="shared" si="831"/>
        <v>740266240.91280365</v>
      </c>
      <c r="D654" s="32">
        <f t="shared" si="832"/>
        <v>2.1516906122432289E-2</v>
      </c>
      <c r="E654" s="99"/>
      <c r="F654"/>
      <c r="G654"/>
    </row>
    <row r="655" spans="1:7" x14ac:dyDescent="0.3">
      <c r="A655" s="29" t="s">
        <v>524</v>
      </c>
      <c r="B655" s="30">
        <v>35480739247.794395</v>
      </c>
      <c r="C655" s="30">
        <f t="shared" ref="C655" si="833">B655-B654</f>
        <v>336537947.60079956</v>
      </c>
      <c r="D655" s="32">
        <f t="shared" ref="D655" si="834">(B655/B654)-1</f>
        <v>9.5759167985116633E-3</v>
      </c>
      <c r="E655" s="37">
        <v>17500000</v>
      </c>
      <c r="F655" s="40" t="s">
        <v>182</v>
      </c>
      <c r="G655" s="29" t="s">
        <v>584</v>
      </c>
    </row>
    <row r="656" spans="1:7" x14ac:dyDescent="0.3">
      <c r="A656" s="29" t="s">
        <v>525</v>
      </c>
      <c r="B656" s="30">
        <v>34319919208.865273</v>
      </c>
      <c r="C656" s="30">
        <f t="shared" ref="C656" si="835">B656-B655</f>
        <v>-1160820038.9291229</v>
      </c>
      <c r="D656" s="32">
        <f t="shared" ref="D656" si="836">(B656/B655)-1</f>
        <v>-3.2716906793346601E-2</v>
      </c>
      <c r="E656" s="37">
        <v>150000000</v>
      </c>
      <c r="F656" s="46" t="s">
        <v>203</v>
      </c>
      <c r="G656" s="29" t="s">
        <v>529</v>
      </c>
    </row>
    <row r="657" spans="1:7" x14ac:dyDescent="0.3">
      <c r="A657" s="29" t="s">
        <v>526</v>
      </c>
      <c r="B657" s="30">
        <v>34003618900</v>
      </c>
      <c r="C657" s="30">
        <f t="shared" ref="C657" si="837">B657-B656</f>
        <v>-316300308.86527252</v>
      </c>
      <c r="D657" s="32">
        <f t="shared" ref="D657" si="838">(B657/B656)-1</f>
        <v>-9.216231161277566E-3</v>
      </c>
      <c r="E657" s="99"/>
      <c r="F657"/>
      <c r="G657"/>
    </row>
    <row r="658" spans="1:7" x14ac:dyDescent="0.3">
      <c r="A658" s="29" t="s">
        <v>534</v>
      </c>
      <c r="B658" s="30">
        <v>34713589186.024956</v>
      </c>
      <c r="C658" s="30">
        <f t="shared" ref="C658" si="839">B658-B657</f>
        <v>709970286.02495575</v>
      </c>
      <c r="D658" s="32">
        <f t="shared" ref="D658" si="840">(B658/B657)-1</f>
        <v>2.0879256649501965E-2</v>
      </c>
      <c r="E658" s="99"/>
      <c r="F658"/>
      <c r="G658"/>
    </row>
    <row r="659" spans="1:7" x14ac:dyDescent="0.3">
      <c r="A659" s="29" t="s">
        <v>535</v>
      </c>
      <c r="B659" s="30">
        <v>34646617419.545959</v>
      </c>
      <c r="C659" s="30">
        <f t="shared" ref="C659" si="841">B659-B658</f>
        <v>-66971766.478996277</v>
      </c>
      <c r="D659" s="32">
        <f t="shared" ref="D659" si="842">(B659/B658)-1</f>
        <v>-1.9292665509206275E-3</v>
      </c>
      <c r="E659" s="99"/>
      <c r="F659"/>
      <c r="G659"/>
    </row>
    <row r="660" spans="1:7" x14ac:dyDescent="0.3">
      <c r="A660" s="29" t="s">
        <v>536</v>
      </c>
      <c r="B660" s="30">
        <v>34773750794.627319</v>
      </c>
      <c r="C660" s="30">
        <f t="shared" ref="C660" si="843">B660-B659</f>
        <v>127133375.08135986</v>
      </c>
      <c r="D660" s="32">
        <f t="shared" ref="D660" si="844">(B660/B659)-1</f>
        <v>3.6694310888092385E-3</v>
      </c>
      <c r="E660" s="99"/>
      <c r="F660"/>
      <c r="G660"/>
    </row>
    <row r="661" spans="1:7" x14ac:dyDescent="0.3">
      <c r="A661" s="29" t="s">
        <v>537</v>
      </c>
      <c r="B661" s="30">
        <v>34762009561.204407</v>
      </c>
      <c r="C661" s="30">
        <f t="shared" ref="C661" si="845">B661-B660</f>
        <v>-11741233.422912598</v>
      </c>
      <c r="D661" s="32">
        <f t="shared" ref="D661" si="846">(B661/B660)-1</f>
        <v>-3.3764644752465323E-4</v>
      </c>
      <c r="E661" s="99"/>
      <c r="F661"/>
      <c r="G661"/>
    </row>
    <row r="662" spans="1:7" x14ac:dyDescent="0.3">
      <c r="A662" s="29" t="s">
        <v>538</v>
      </c>
      <c r="B662" s="30">
        <v>33176996612.101925</v>
      </c>
      <c r="C662" s="30">
        <f t="shared" ref="C662" si="847">B662-B661</f>
        <v>-1585012949.1024818</v>
      </c>
      <c r="D662" s="32">
        <f t="shared" ref="D662" si="848">(B662/B661)-1</f>
        <v>-4.5596125457355918E-2</v>
      </c>
      <c r="E662" s="99"/>
      <c r="F662"/>
      <c r="G662"/>
    </row>
    <row r="663" spans="1:7" x14ac:dyDescent="0.3">
      <c r="A663" s="29" t="s">
        <v>539</v>
      </c>
      <c r="B663" s="30">
        <v>33062589130.53717</v>
      </c>
      <c r="C663" s="30">
        <f t="shared" ref="C663" si="849">B663-B662</f>
        <v>-114407481.56475449</v>
      </c>
      <c r="D663" s="32">
        <f t="shared" ref="D663" si="850">(B663/B662)-1</f>
        <v>-3.4483977830296331E-3</v>
      </c>
      <c r="E663" s="37">
        <v>16000000</v>
      </c>
      <c r="F663" s="40" t="s">
        <v>182</v>
      </c>
      <c r="G663" s="29" t="s">
        <v>6</v>
      </c>
    </row>
    <row r="664" spans="1:7" x14ac:dyDescent="0.3">
      <c r="A664" s="29" t="s">
        <v>540</v>
      </c>
      <c r="B664" s="30">
        <v>33890708190.613743</v>
      </c>
      <c r="C664" s="30">
        <f t="shared" ref="C664" si="851">B664-B663</f>
        <v>828119060.07657242</v>
      </c>
      <c r="D664" s="32">
        <f t="shared" ref="D664" si="852">(B664/B663)-1</f>
        <v>2.5047011799560037E-2</v>
      </c>
      <c r="E664" s="99"/>
      <c r="F664"/>
      <c r="G664"/>
    </row>
    <row r="665" spans="1:7" x14ac:dyDescent="0.3">
      <c r="A665" s="29" t="s">
        <v>541</v>
      </c>
      <c r="B665" s="30">
        <v>35014595840.950737</v>
      </c>
      <c r="C665" s="30">
        <f t="shared" ref="C665" si="853">B665-B664</f>
        <v>1123887650.3369942</v>
      </c>
      <c r="D665" s="32">
        <f t="shared" ref="D665" si="854">(B665/B664)-1</f>
        <v>3.3162117593289464E-2</v>
      </c>
      <c r="E665" s="37">
        <v>64000000</v>
      </c>
      <c r="F665" s="40" t="s">
        <v>182</v>
      </c>
      <c r="G665" s="29" t="s">
        <v>6</v>
      </c>
    </row>
    <row r="666" spans="1:7" x14ac:dyDescent="0.3">
      <c r="A666" s="29" t="s">
        <v>542</v>
      </c>
      <c r="B666" s="30">
        <v>34448036197.525047</v>
      </c>
      <c r="C666" s="30">
        <f t="shared" ref="C666" si="855">B666-B665</f>
        <v>-566559643.4256897</v>
      </c>
      <c r="D666" s="32">
        <f t="shared" ref="D666" si="856">(B666/B665)-1</f>
        <v>-1.6180670655152274E-2</v>
      </c>
      <c r="E666" s="99"/>
      <c r="F666"/>
      <c r="G666"/>
    </row>
    <row r="667" spans="1:7" x14ac:dyDescent="0.3">
      <c r="A667" s="29" t="s">
        <v>543</v>
      </c>
      <c r="B667" s="30">
        <v>34607873155.041786</v>
      </c>
      <c r="C667" s="30">
        <f t="shared" ref="C667" si="857">B667-B666</f>
        <v>159836957.51673889</v>
      </c>
      <c r="D667" s="32">
        <f t="shared" ref="D667" si="858">(B667/B666)-1</f>
        <v>4.6399439608177939E-3</v>
      </c>
      <c r="E667" s="37">
        <v>12000000</v>
      </c>
      <c r="F667" s="40" t="s">
        <v>182</v>
      </c>
      <c r="G667" s="29" t="s">
        <v>585</v>
      </c>
    </row>
    <row r="668" spans="1:7" x14ac:dyDescent="0.3">
      <c r="A668" s="29" t="s">
        <v>544</v>
      </c>
      <c r="B668" s="30">
        <v>33833238180.724983</v>
      </c>
      <c r="C668" s="30">
        <f t="shared" ref="C668" si="859">B668-B667</f>
        <v>-774634974.31680298</v>
      </c>
      <c r="D668" s="32">
        <f t="shared" ref="D668" si="860">(B668/B667)-1</f>
        <v>-2.2383200806546877E-2</v>
      </c>
      <c r="E668" s="99"/>
      <c r="F668"/>
      <c r="G668"/>
    </row>
    <row r="669" spans="1:7" x14ac:dyDescent="0.3">
      <c r="A669" s="29" t="s">
        <v>545</v>
      </c>
      <c r="B669" s="30">
        <v>34422929927.972618</v>
      </c>
      <c r="C669" s="30">
        <f t="shared" ref="C669" si="861">B669-B668</f>
        <v>589691747.24763489</v>
      </c>
      <c r="D669" s="32">
        <f t="shared" ref="D669" si="862">(B669/B668)-1</f>
        <v>1.7429361744734972E-2</v>
      </c>
      <c r="E669" s="99"/>
      <c r="F669"/>
      <c r="G669"/>
    </row>
    <row r="670" spans="1:7" x14ac:dyDescent="0.3">
      <c r="A670" s="29" t="s">
        <v>546</v>
      </c>
      <c r="B670" s="30">
        <v>32644406003.473083</v>
      </c>
      <c r="C670" s="30">
        <f t="shared" ref="C670" si="863">B670-B669</f>
        <v>-1778523924.4995346</v>
      </c>
      <c r="D670" s="32">
        <f t="shared" ref="D670" si="864">(B670/B669)-1</f>
        <v>-5.1666837431356361E-2</v>
      </c>
      <c r="E670" s="99"/>
      <c r="F670"/>
      <c r="G670"/>
    </row>
    <row r="671" spans="1:7" x14ac:dyDescent="0.3">
      <c r="A671" s="29" t="s">
        <v>547</v>
      </c>
      <c r="B671" s="30">
        <v>32138622266.086773</v>
      </c>
      <c r="C671" s="30">
        <f t="shared" ref="C671" si="865">B671-B670</f>
        <v>-505783737.38631058</v>
      </c>
      <c r="D671" s="32">
        <f t="shared" ref="D671" si="866">(B671/B670)-1</f>
        <v>-1.5493733821730471E-2</v>
      </c>
      <c r="E671" s="99"/>
      <c r="F671"/>
      <c r="G671"/>
    </row>
    <row r="672" spans="1:7" x14ac:dyDescent="0.3">
      <c r="A672" s="29" t="s">
        <v>548</v>
      </c>
      <c r="B672" s="30">
        <v>32185570304.473259</v>
      </c>
      <c r="C672" s="30">
        <f t="shared" ref="C672" si="867">B672-B671</f>
        <v>46948038.386486053</v>
      </c>
      <c r="D672" s="32">
        <f t="shared" ref="D672" si="868">(B672/B671)-1</f>
        <v>1.460798101355687E-3</v>
      </c>
      <c r="E672" s="99"/>
      <c r="F672"/>
      <c r="G672"/>
    </row>
    <row r="673" spans="1:7" x14ac:dyDescent="0.3">
      <c r="A673" s="29" t="s">
        <v>549</v>
      </c>
      <c r="B673" s="30">
        <v>30889500215.027756</v>
      </c>
      <c r="C673" s="30">
        <f t="shared" ref="C673" si="869">B673-B672</f>
        <v>-1296070089.4455032</v>
      </c>
      <c r="D673" s="32">
        <f t="shared" ref="D673" si="870">(B673/B672)-1</f>
        <v>-4.0268669381488986E-2</v>
      </c>
      <c r="E673" s="99"/>
      <c r="F673"/>
      <c r="G673"/>
    </row>
    <row r="674" spans="1:7" x14ac:dyDescent="0.3">
      <c r="A674" s="29" t="s">
        <v>550</v>
      </c>
      <c r="B674" s="30">
        <v>30847671893.974598</v>
      </c>
      <c r="C674" s="30">
        <f t="shared" ref="C674" si="871">B674-B673</f>
        <v>-41828321.053157806</v>
      </c>
      <c r="D674" s="32">
        <f t="shared" ref="D674" si="872">(B674/B673)-1</f>
        <v>-1.3541274789810043E-3</v>
      </c>
      <c r="E674" s="99"/>
      <c r="F674"/>
      <c r="G674"/>
    </row>
    <row r="675" spans="1:7" x14ac:dyDescent="0.3">
      <c r="A675" s="29" t="s">
        <v>551</v>
      </c>
      <c r="B675" s="30">
        <v>29930994473.899166</v>
      </c>
      <c r="C675" s="30">
        <f t="shared" ref="C675" si="873">B675-B674</f>
        <v>-916677420.07543182</v>
      </c>
      <c r="D675" s="32">
        <f t="shared" ref="D675" si="874">(B675/B674)-1</f>
        <v>-2.9716259406094236E-2</v>
      </c>
      <c r="E675" s="99"/>
      <c r="F675"/>
      <c r="G675"/>
    </row>
    <row r="676" spans="1:7" x14ac:dyDescent="0.3">
      <c r="A676" s="29" t="s">
        <v>552</v>
      </c>
      <c r="B676" s="30">
        <v>29686182763.917629</v>
      </c>
      <c r="C676" s="30">
        <f t="shared" ref="C676" si="875">B676-B675</f>
        <v>-244811709.98153687</v>
      </c>
      <c r="D676" s="32">
        <f t="shared" ref="D676" si="876">(B676/B675)-1</f>
        <v>-8.1792040085745255E-3</v>
      </c>
      <c r="E676" s="99"/>
      <c r="F676"/>
      <c r="G676"/>
    </row>
    <row r="677" spans="1:7" x14ac:dyDescent="0.3">
      <c r="A677" s="29" t="s">
        <v>553</v>
      </c>
      <c r="B677" s="30">
        <v>30035260317.289642</v>
      </c>
      <c r="C677" s="30">
        <f t="shared" ref="C677" si="877">B677-B676</f>
        <v>349077553.37201309</v>
      </c>
      <c r="D677" s="32">
        <f t="shared" ref="D677" si="878">(B677/B676)-1</f>
        <v>1.1758923541907995E-2</v>
      </c>
      <c r="E677" s="99"/>
      <c r="F677"/>
      <c r="G677"/>
    </row>
    <row r="678" spans="1:7" x14ac:dyDescent="0.3">
      <c r="A678" s="29" t="s">
        <v>554</v>
      </c>
      <c r="B678" s="30">
        <v>28712737540.779457</v>
      </c>
      <c r="C678" s="30">
        <f t="shared" ref="C678" si="879">B678-B677</f>
        <v>-1322522776.5101852</v>
      </c>
      <c r="D678" s="32">
        <f t="shared" ref="D678" si="880">(B678/B677)-1</f>
        <v>-4.4032339408388022E-2</v>
      </c>
      <c r="E678" s="99"/>
      <c r="F678"/>
      <c r="G678"/>
    </row>
    <row r="679" spans="1:7" x14ac:dyDescent="0.3">
      <c r="A679" s="29" t="s">
        <v>555</v>
      </c>
      <c r="B679" s="30">
        <v>29342532332.985714</v>
      </c>
      <c r="C679" s="30">
        <f t="shared" ref="C679" si="881">B679-B678</f>
        <v>629794792.20625687</v>
      </c>
      <c r="D679" s="32">
        <f t="shared" ref="D679" si="882">(B679/B678)-1</f>
        <v>2.1934334589719606E-2</v>
      </c>
      <c r="E679" s="37">
        <v>302000000</v>
      </c>
      <c r="F679" s="40" t="s">
        <v>182</v>
      </c>
      <c r="G679" s="29" t="s">
        <v>586</v>
      </c>
    </row>
    <row r="680" spans="1:7" x14ac:dyDescent="0.3">
      <c r="A680" s="29" t="s">
        <v>556</v>
      </c>
      <c r="B680" s="30">
        <v>30718328177.670452</v>
      </c>
      <c r="C680" s="30">
        <f t="shared" ref="C680" si="883">B680-B679</f>
        <v>1375795844.6847382</v>
      </c>
      <c r="D680" s="32">
        <f t="shared" ref="D680" si="884">(B680/B679)-1</f>
        <v>4.6887427065663401E-2</v>
      </c>
      <c r="E680" s="99"/>
      <c r="F680"/>
      <c r="G680"/>
    </row>
    <row r="681" spans="1:7" x14ac:dyDescent="0.3">
      <c r="A681" s="29" t="s">
        <v>557</v>
      </c>
      <c r="B681" s="30">
        <v>32243917649.741043</v>
      </c>
      <c r="C681" s="30">
        <f t="shared" ref="C681:C686" si="885">B681-B680</f>
        <v>1525589472.070591</v>
      </c>
      <c r="D681" s="32">
        <f t="shared" ref="D681:D686" si="886">(B681/B680)-1</f>
        <v>4.9663818396847637E-2</v>
      </c>
      <c r="E681" s="99"/>
      <c r="F681"/>
      <c r="G681"/>
    </row>
    <row r="682" spans="1:7" x14ac:dyDescent="0.3">
      <c r="A682" s="29" t="s">
        <v>558</v>
      </c>
      <c r="B682" s="30">
        <v>32707084580.650032</v>
      </c>
      <c r="C682" s="30">
        <f t="shared" si="885"/>
        <v>463166930.90898895</v>
      </c>
      <c r="D682" s="32">
        <f t="shared" si="886"/>
        <v>1.4364474439498176E-2</v>
      </c>
      <c r="E682" s="99"/>
      <c r="F682"/>
      <c r="G682"/>
    </row>
    <row r="683" spans="1:7" x14ac:dyDescent="0.3">
      <c r="A683" s="29" t="s">
        <v>559</v>
      </c>
      <c r="B683" s="30">
        <v>32516440505.015026</v>
      </c>
      <c r="C683" s="30">
        <f t="shared" si="885"/>
        <v>-190644075.63500595</v>
      </c>
      <c r="D683" s="32">
        <f t="shared" si="886"/>
        <v>-5.8288312174358259E-3</v>
      </c>
      <c r="E683" s="99"/>
      <c r="F683"/>
      <c r="G683"/>
    </row>
    <row r="684" spans="1:7" x14ac:dyDescent="0.3">
      <c r="A684" s="29" t="s">
        <v>560</v>
      </c>
      <c r="B684" s="30">
        <v>33041577545.565834</v>
      </c>
      <c r="C684" s="30">
        <f t="shared" si="885"/>
        <v>525137040.55080795</v>
      </c>
      <c r="D684" s="32">
        <f t="shared" si="886"/>
        <v>1.6149893173879715E-2</v>
      </c>
      <c r="E684" s="37">
        <v>109000000</v>
      </c>
      <c r="F684" s="40" t="s">
        <v>182</v>
      </c>
      <c r="G684" s="29" t="s">
        <v>588</v>
      </c>
    </row>
    <row r="685" spans="1:7" x14ac:dyDescent="0.3">
      <c r="A685" s="29" t="s">
        <v>561</v>
      </c>
      <c r="B685" s="30">
        <v>33361826168.512016</v>
      </c>
      <c r="C685" s="30">
        <f t="shared" si="885"/>
        <v>320248622.94618225</v>
      </c>
      <c r="D685" s="32">
        <f t="shared" si="886"/>
        <v>9.6922921584039479E-3</v>
      </c>
      <c r="E685" s="99"/>
      <c r="F685"/>
      <c r="G685"/>
    </row>
    <row r="686" spans="1:7" x14ac:dyDescent="0.3">
      <c r="A686" s="29" t="s">
        <v>562</v>
      </c>
      <c r="B686" s="30">
        <v>32908178204.200443</v>
      </c>
      <c r="C686" s="30">
        <f t="shared" si="885"/>
        <v>-453647964.31157303</v>
      </c>
      <c r="D686" s="32">
        <f t="shared" si="886"/>
        <v>-1.3597815719684436E-2</v>
      </c>
      <c r="E686" s="37">
        <v>50000000</v>
      </c>
      <c r="F686" s="46" t="s">
        <v>203</v>
      </c>
      <c r="G686" s="29" t="s">
        <v>590</v>
      </c>
    </row>
    <row r="687" spans="1:7" x14ac:dyDescent="0.3">
      <c r="A687" s="29" t="s">
        <v>563</v>
      </c>
      <c r="B687" s="30">
        <v>33304253698.456062</v>
      </c>
      <c r="C687" s="30">
        <f t="shared" ref="C687" si="887">B687-B686</f>
        <v>396075494.25561905</v>
      </c>
      <c r="D687" s="32">
        <f t="shared" ref="D687" si="888">(B687/B686)-1</f>
        <v>1.2035776997374681E-2</v>
      </c>
      <c r="E687" s="99"/>
      <c r="F687"/>
      <c r="G687"/>
    </row>
    <row r="688" spans="1:7" x14ac:dyDescent="0.3">
      <c r="A688" s="29" t="s">
        <v>564</v>
      </c>
      <c r="B688" s="30">
        <v>33822379165.14183</v>
      </c>
      <c r="C688" s="30">
        <f t="shared" ref="C688" si="889">B688-B687</f>
        <v>518125466.68576813</v>
      </c>
      <c r="D688" s="32">
        <f t="shared" ref="D688" si="890">(B688/B687)-1</f>
        <v>1.5557336050133097E-2</v>
      </c>
      <c r="E688" s="37">
        <v>50000000</v>
      </c>
      <c r="F688" s="46" t="s">
        <v>203</v>
      </c>
      <c r="G688" s="29" t="s">
        <v>591</v>
      </c>
    </row>
    <row r="689" spans="1:7" x14ac:dyDescent="0.3">
      <c r="A689" s="29" t="s">
        <v>565</v>
      </c>
      <c r="B689" s="30">
        <v>32405661998.861919</v>
      </c>
      <c r="C689" s="30">
        <f t="shared" ref="C689" si="891">B689-B688</f>
        <v>-1416717166.279911</v>
      </c>
      <c r="D689" s="32">
        <f t="shared" ref="D689" si="892">(B689/B688)-1</f>
        <v>-4.1886975465641241E-2</v>
      </c>
      <c r="E689" s="99"/>
      <c r="F689"/>
      <c r="G689"/>
    </row>
    <row r="690" spans="1:7" x14ac:dyDescent="0.3">
      <c r="A690" s="29" t="s">
        <v>566</v>
      </c>
      <c r="B690" s="30">
        <v>31612070686.936577</v>
      </c>
      <c r="C690" s="30">
        <f t="shared" ref="C690" si="893">B690-B689</f>
        <v>-793591311.92534256</v>
      </c>
      <c r="D690" s="32">
        <f t="shared" ref="D690" si="894">(B690/B689)-1</f>
        <v>-2.4489279433736355E-2</v>
      </c>
      <c r="E690" s="99"/>
      <c r="F690"/>
      <c r="G690"/>
    </row>
    <row r="691" spans="1:7" x14ac:dyDescent="0.3">
      <c r="A691" s="29" t="s">
        <v>567</v>
      </c>
      <c r="B691" s="30">
        <v>31505649709.35569</v>
      </c>
      <c r="C691" s="30">
        <f t="shared" ref="C691" si="895">B691-B690</f>
        <v>-106420977.58088684</v>
      </c>
      <c r="D691" s="32">
        <f t="shared" ref="D691" si="896">(B691/B690)-1</f>
        <v>-3.3664665195394239E-3</v>
      </c>
      <c r="E691" s="99"/>
      <c r="F691"/>
      <c r="G691"/>
    </row>
    <row r="692" spans="1:7" x14ac:dyDescent="0.3">
      <c r="A692" s="29" t="s">
        <v>568</v>
      </c>
      <c r="B692" s="30">
        <v>31765489667.117157</v>
      </c>
      <c r="C692" s="30">
        <f t="shared" ref="C692" si="897">B692-B691</f>
        <v>259839957.76146698</v>
      </c>
      <c r="D692" s="32">
        <f t="shared" ref="D692" si="898">(B692/B691)-1</f>
        <v>8.2474083270311915E-3</v>
      </c>
      <c r="E692" s="99"/>
      <c r="F692"/>
      <c r="G692"/>
    </row>
    <row r="693" spans="1:7" x14ac:dyDescent="0.3">
      <c r="A693" s="29" t="s">
        <v>569</v>
      </c>
      <c r="B693" s="30">
        <v>31766181569.420723</v>
      </c>
      <c r="C693" s="30">
        <f t="shared" ref="C693" si="899">B693-B692</f>
        <v>691902.303565979</v>
      </c>
      <c r="D693" s="32">
        <f t="shared" ref="D693" si="900">(B693/B692)-1</f>
        <v>2.1781572102863578E-5</v>
      </c>
      <c r="E693" s="99"/>
      <c r="F693"/>
      <c r="G693"/>
    </row>
    <row r="694" spans="1:7" x14ac:dyDescent="0.3">
      <c r="A694" s="29" t="s">
        <v>570</v>
      </c>
      <c r="B694" s="30">
        <v>33116119039.953827</v>
      </c>
      <c r="C694" s="30">
        <f t="shared" ref="C694" si="901">B694-B693</f>
        <v>1349937470.5331039</v>
      </c>
      <c r="D694" s="32">
        <f t="shared" ref="D694" si="902">(B694/B693)-1</f>
        <v>4.249605724827199E-2</v>
      </c>
      <c r="E694" s="99"/>
      <c r="F694"/>
      <c r="G694"/>
    </row>
    <row r="695" spans="1:7" x14ac:dyDescent="0.3">
      <c r="A695" s="29" t="s">
        <v>571</v>
      </c>
      <c r="B695" s="30">
        <v>34070178745.653679</v>
      </c>
      <c r="C695" s="30">
        <f t="shared" ref="C695" si="903">B695-B694</f>
        <v>954059705.69985199</v>
      </c>
      <c r="D695" s="32">
        <f t="shared" ref="D695" si="904">(B695/B694)-1</f>
        <v>2.8809526398573482E-2</v>
      </c>
      <c r="E695" s="99"/>
      <c r="F695"/>
      <c r="G695"/>
    </row>
    <row r="696" spans="1:7" x14ac:dyDescent="0.3">
      <c r="A696" s="29" t="s">
        <v>572</v>
      </c>
      <c r="B696" s="30">
        <v>34002555987.321552</v>
      </c>
      <c r="C696" s="30">
        <f t="shared" ref="C696" si="905">B696-B695</f>
        <v>-67622758.332126617</v>
      </c>
      <c r="D696" s="32">
        <f t="shared" ref="D696" si="906">(B696/B695)-1</f>
        <v>-1.9848078531361502E-3</v>
      </c>
      <c r="E696" s="99"/>
      <c r="F696"/>
      <c r="G696"/>
    </row>
    <row r="697" spans="1:7" x14ac:dyDescent="0.3">
      <c r="A697" s="29" t="s">
        <v>573</v>
      </c>
      <c r="B697" s="30">
        <v>33422481149.005016</v>
      </c>
      <c r="C697" s="30">
        <f t="shared" ref="C697" si="907">B697-B696</f>
        <v>-580074838.31653595</v>
      </c>
      <c r="D697" s="32">
        <f t="shared" ref="D697" si="908">(B697/B696)-1</f>
        <v>-1.7059742171524617E-2</v>
      </c>
      <c r="E697" s="99"/>
      <c r="F697"/>
      <c r="G697"/>
    </row>
    <row r="698" spans="1:7" x14ac:dyDescent="0.3">
      <c r="A698" s="29" t="s">
        <v>574</v>
      </c>
      <c r="B698" s="30">
        <v>33275674424.653633</v>
      </c>
      <c r="C698" s="30">
        <f t="shared" ref="C698" si="909">B698-B697</f>
        <v>-146806724.35138321</v>
      </c>
      <c r="D698" s="32">
        <f t="shared" ref="D698" si="910">(B698/B697)-1</f>
        <v>-4.392454399087975E-3</v>
      </c>
      <c r="E698" s="99"/>
      <c r="F698"/>
      <c r="G698"/>
    </row>
    <row r="699" spans="1:7" x14ac:dyDescent="0.3">
      <c r="A699" s="29" t="s">
        <v>592</v>
      </c>
      <c r="B699" s="30">
        <v>32900685235.655098</v>
      </c>
      <c r="C699" s="30">
        <f t="shared" ref="C699" si="911">B699-B698</f>
        <v>-374989188.99853516</v>
      </c>
      <c r="D699" s="32">
        <f t="shared" ref="D699" si="912">(B699/B698)-1</f>
        <v>-1.1269168709040822E-2</v>
      </c>
      <c r="E699" s="99"/>
      <c r="F699"/>
      <c r="G699"/>
    </row>
    <row r="700" spans="1:7" x14ac:dyDescent="0.3">
      <c r="A700" s="29" t="s">
        <v>593</v>
      </c>
      <c r="B700" s="30">
        <v>33135502205.164963</v>
      </c>
      <c r="C700" s="30">
        <f t="shared" ref="C700" si="913">B700-B699</f>
        <v>234816969.50986481</v>
      </c>
      <c r="D700" s="32">
        <f t="shared" ref="D700" si="914">(B700/B699)-1</f>
        <v>7.1371452548163461E-3</v>
      </c>
      <c r="E700" s="99"/>
      <c r="F700"/>
      <c r="G700"/>
    </row>
    <row r="701" spans="1:7" x14ac:dyDescent="0.3">
      <c r="A701" s="29" t="s">
        <v>594</v>
      </c>
      <c r="B701" s="30">
        <v>33346214554.488022</v>
      </c>
      <c r="C701" s="30">
        <f t="shared" ref="C701" si="915">B701-B700</f>
        <v>210712349.32305908</v>
      </c>
      <c r="D701" s="32">
        <f t="shared" ref="D701" si="916">(B701/B700)-1</f>
        <v>6.3591113850756109E-3</v>
      </c>
      <c r="E701" s="99"/>
      <c r="F701"/>
      <c r="G701"/>
    </row>
    <row r="702" spans="1:7" x14ac:dyDescent="0.3">
      <c r="A702" s="29" t="s">
        <v>595</v>
      </c>
      <c r="B702" s="30">
        <v>32770290646.004795</v>
      </c>
      <c r="C702" s="30">
        <f t="shared" ref="C702" si="917">B702-B701</f>
        <v>-575923908.48322678</v>
      </c>
      <c r="D702" s="32">
        <f t="shared" ref="D702" si="918">(B702/B701)-1</f>
        <v>-1.7271043090728133E-2</v>
      </c>
      <c r="E702" s="37">
        <v>163000000</v>
      </c>
      <c r="F702" s="40" t="s">
        <v>182</v>
      </c>
      <c r="G702" s="29" t="s">
        <v>711</v>
      </c>
    </row>
    <row r="703" spans="1:7" x14ac:dyDescent="0.3">
      <c r="A703" s="29" t="s">
        <v>589</v>
      </c>
      <c r="B703" s="30">
        <v>32342692876.620132</v>
      </c>
      <c r="C703" s="30">
        <f t="shared" ref="C703" si="919">B703-B702</f>
        <v>-427597769.38466263</v>
      </c>
      <c r="D703" s="32">
        <f t="shared" ref="D703" si="920">(B703/B702)-1</f>
        <v>-1.3048336189743104E-2</v>
      </c>
      <c r="E703" s="99"/>
      <c r="F703"/>
      <c r="G703"/>
    </row>
    <row r="704" spans="1:7" x14ac:dyDescent="0.3">
      <c r="A704" s="29" t="s">
        <v>596</v>
      </c>
      <c r="B704" s="30">
        <v>32514587305.774509</v>
      </c>
      <c r="C704" s="30">
        <f t="shared" ref="C704" si="921">B704-B703</f>
        <v>171894429.15437698</v>
      </c>
      <c r="D704" s="32">
        <f t="shared" ref="D704" si="922">(B704/B703)-1</f>
        <v>5.3147840784351086E-3</v>
      </c>
      <c r="E704" s="99"/>
      <c r="F704"/>
      <c r="G704"/>
    </row>
    <row r="705" spans="1:7" x14ac:dyDescent="0.3">
      <c r="A705" s="29" t="s">
        <v>597</v>
      </c>
      <c r="B705" s="30">
        <v>33002273646.617599</v>
      </c>
      <c r="C705" s="30">
        <f t="shared" ref="C705" si="923">B705-B704</f>
        <v>487686340.84309006</v>
      </c>
      <c r="D705" s="32">
        <f t="shared" ref="D705" si="924">(B705/B704)-1</f>
        <v>1.4999001409945034E-2</v>
      </c>
      <c r="E705" s="99"/>
      <c r="F705"/>
      <c r="G705"/>
    </row>
    <row r="706" spans="1:7" x14ac:dyDescent="0.3">
      <c r="A706" s="29" t="s">
        <v>583</v>
      </c>
      <c r="B706" s="30">
        <v>32722795950.326939</v>
      </c>
      <c r="C706" s="30">
        <f t="shared" ref="C706" si="925">B706-B705</f>
        <v>-279477696.29066086</v>
      </c>
      <c r="D706" s="32">
        <f t="shared" ref="D706" si="926">(B706/B705)-1</f>
        <v>-8.4684376380627091E-3</v>
      </c>
      <c r="E706" s="37">
        <v>135000000</v>
      </c>
      <c r="F706" s="40" t="s">
        <v>182</v>
      </c>
      <c r="G706" s="29" t="s">
        <v>6</v>
      </c>
    </row>
    <row r="707" spans="1:7" x14ac:dyDescent="0.3">
      <c r="A707" s="29" t="s">
        <v>598</v>
      </c>
      <c r="B707" s="30">
        <v>30987887662.631638</v>
      </c>
      <c r="C707" s="30">
        <f t="shared" ref="C707" si="927">B707-B706</f>
        <v>-1734908287.6953011</v>
      </c>
      <c r="D707" s="32">
        <f t="shared" ref="D707" si="928">(B707/B706)-1</f>
        <v>-5.3018338968616407E-2</v>
      </c>
      <c r="E707" s="99"/>
      <c r="F707"/>
      <c r="G707"/>
    </row>
    <row r="708" spans="1:7" x14ac:dyDescent="0.3">
      <c r="A708" s="29" t="s">
        <v>599</v>
      </c>
      <c r="B708" s="30">
        <v>30001798071.061134</v>
      </c>
      <c r="C708" s="30">
        <f t="shared" ref="C708" si="929">B708-B707</f>
        <v>-986089591.57050323</v>
      </c>
      <c r="D708" s="32">
        <f t="shared" ref="D708" si="930">(B708/B707)-1</f>
        <v>-3.1821775085354775E-2</v>
      </c>
      <c r="E708" s="99"/>
      <c r="F708"/>
      <c r="G708"/>
    </row>
    <row r="709" spans="1:7" x14ac:dyDescent="0.3">
      <c r="A709" s="29" t="s">
        <v>600</v>
      </c>
      <c r="B709" s="30">
        <v>30166647087.488434</v>
      </c>
      <c r="C709" s="30">
        <f t="shared" ref="C709" si="931">B709-B708</f>
        <v>164849016.4272995</v>
      </c>
      <c r="D709" s="32">
        <f t="shared" ref="D709" si="932">(B709/B708)-1</f>
        <v>5.4946378892639647E-3</v>
      </c>
      <c r="E709" s="99"/>
      <c r="F709"/>
      <c r="G709"/>
    </row>
    <row r="710" spans="1:7" x14ac:dyDescent="0.3">
      <c r="A710" s="29" t="s">
        <v>601</v>
      </c>
      <c r="B710" s="30">
        <v>30289016460.034988</v>
      </c>
      <c r="C710" s="30">
        <f t="shared" ref="C710" si="933">B710-B709</f>
        <v>122369372.54655457</v>
      </c>
      <c r="D710" s="32">
        <f t="shared" ref="D710" si="934">(B710/B709)-1</f>
        <v>4.0564459216054782E-3</v>
      </c>
      <c r="E710" s="99"/>
      <c r="F710"/>
      <c r="G710"/>
    </row>
    <row r="711" spans="1:7" x14ac:dyDescent="0.3">
      <c r="A711" s="29" t="s">
        <v>602</v>
      </c>
      <c r="B711" s="30">
        <v>29065864585.713398</v>
      </c>
      <c r="C711" s="30">
        <f t="shared" ref="C711" si="935">B711-B710</f>
        <v>-1223151874.3215904</v>
      </c>
      <c r="D711" s="32">
        <f t="shared" ref="D711" si="936">(B711/B710)-1</f>
        <v>-4.0382687101625958E-2</v>
      </c>
      <c r="E711" s="99"/>
      <c r="F711"/>
      <c r="G711"/>
    </row>
    <row r="712" spans="1:7" x14ac:dyDescent="0.3">
      <c r="A712" s="29" t="s">
        <v>603</v>
      </c>
      <c r="B712" s="30">
        <v>28516041903.864979</v>
      </c>
      <c r="C712" s="30">
        <f t="shared" ref="C712" si="937">B712-B711</f>
        <v>-549822681.84841919</v>
      </c>
      <c r="D712" s="32">
        <f t="shared" ref="D712" si="938">(B712/B711)-1</f>
        <v>-1.8916439943736263E-2</v>
      </c>
      <c r="E712" s="99"/>
      <c r="F712"/>
      <c r="G712"/>
    </row>
    <row r="713" spans="1:7" x14ac:dyDescent="0.3">
      <c r="A713" s="29" t="s">
        <v>604</v>
      </c>
      <c r="B713" s="30">
        <v>29548492415.104549</v>
      </c>
      <c r="C713" s="30">
        <f t="shared" ref="C713" si="939">B713-B712</f>
        <v>1032450511.2395706</v>
      </c>
      <c r="D713" s="32">
        <f t="shared" ref="D713" si="940">(B713/B712)-1</f>
        <v>3.6205954343882407E-2</v>
      </c>
      <c r="E713" s="99"/>
      <c r="F713"/>
      <c r="G713"/>
    </row>
    <row r="714" spans="1:7" x14ac:dyDescent="0.3">
      <c r="A714" s="29" t="s">
        <v>605</v>
      </c>
      <c r="B714" s="30">
        <v>29655092716.71027</v>
      </c>
      <c r="C714" s="30">
        <f t="shared" ref="C714" si="941">B714-B713</f>
        <v>106600301.60572052</v>
      </c>
      <c r="D714" s="32">
        <f t="shared" ref="D714" si="942">(B714/B713)-1</f>
        <v>3.6076392699895266E-3</v>
      </c>
      <c r="E714" s="99"/>
      <c r="F714"/>
      <c r="G714"/>
    </row>
    <row r="715" spans="1:7" x14ac:dyDescent="0.3">
      <c r="A715" s="29" t="s">
        <v>606</v>
      </c>
      <c r="B715" s="30">
        <v>28578630822.774189</v>
      </c>
      <c r="C715" s="30">
        <f t="shared" ref="C715" si="943">B715-B714</f>
        <v>-1076461893.9360809</v>
      </c>
      <c r="D715" s="32">
        <f t="shared" ref="D715" si="944">(B715/B714)-1</f>
        <v>-3.6299393976586991E-2</v>
      </c>
      <c r="E715" s="99"/>
      <c r="F715"/>
      <c r="G715"/>
    </row>
    <row r="716" spans="1:7" x14ac:dyDescent="0.3">
      <c r="A716" s="29" t="s">
        <v>607</v>
      </c>
      <c r="B716" s="30">
        <v>29263966593.592892</v>
      </c>
      <c r="C716" s="30">
        <f t="shared" ref="C716" si="945">B716-B715</f>
        <v>685335770.8187027</v>
      </c>
      <c r="D716" s="32">
        <f t="shared" ref="D716" si="946">(B716/B715)-1</f>
        <v>2.3980706950892827E-2</v>
      </c>
      <c r="E716" s="99"/>
      <c r="F716"/>
      <c r="G716"/>
    </row>
    <row r="717" spans="1:7" x14ac:dyDescent="0.3">
      <c r="A717" s="29" t="s">
        <v>608</v>
      </c>
      <c r="B717" s="30">
        <v>29882849809.469704</v>
      </c>
      <c r="C717" s="30">
        <f t="shared" ref="C717" si="947">B717-B716</f>
        <v>618883215.87681198</v>
      </c>
      <c r="D717" s="32">
        <f t="shared" ref="D717" si="948">(B717/B716)-1</f>
        <v>2.1148302431848398E-2</v>
      </c>
      <c r="E717" s="99"/>
      <c r="F717"/>
      <c r="G717"/>
    </row>
    <row r="718" spans="1:7" x14ac:dyDescent="0.3">
      <c r="A718" s="29" t="s">
        <v>609</v>
      </c>
      <c r="B718" s="30">
        <v>29597809786.797802</v>
      </c>
      <c r="C718" s="30">
        <f t="shared" ref="C718" si="949">B718-B717</f>
        <v>-285040022.6719017</v>
      </c>
      <c r="D718" s="32">
        <f t="shared" ref="D718" si="950">(B718/B717)-1</f>
        <v>-9.538582313577515E-3</v>
      </c>
      <c r="E718" s="37">
        <v>77000000</v>
      </c>
      <c r="F718" s="40" t="s">
        <v>182</v>
      </c>
      <c r="G718" s="29" t="s">
        <v>712</v>
      </c>
    </row>
    <row r="719" spans="1:7" x14ac:dyDescent="0.3">
      <c r="A719" s="29" t="s">
        <v>610</v>
      </c>
      <c r="B719" s="30">
        <v>28668965009.869324</v>
      </c>
      <c r="C719" s="30">
        <f t="shared" ref="C719" si="951">B719-B718</f>
        <v>-928844776.92847824</v>
      </c>
      <c r="D719" s="32">
        <f t="shared" ref="D719" si="952">(B719/B718)-1</f>
        <v>-3.1382213198180353E-2</v>
      </c>
      <c r="E719" s="99"/>
      <c r="F719"/>
      <c r="G719"/>
    </row>
    <row r="720" spans="1:7" x14ac:dyDescent="0.3">
      <c r="A720" s="29" t="s">
        <v>611</v>
      </c>
      <c r="B720" s="30">
        <v>28723081997.959358</v>
      </c>
      <c r="C720" s="30">
        <f t="shared" ref="C720" si="953">B720-B719</f>
        <v>54116988.090034485</v>
      </c>
      <c r="D720" s="32">
        <f t="shared" ref="D720" si="954">(B720/B719)-1</f>
        <v>1.8876505681808542E-3</v>
      </c>
      <c r="E720" s="99"/>
      <c r="F720"/>
      <c r="G720"/>
    </row>
    <row r="721" spans="1:7" x14ac:dyDescent="0.3">
      <c r="A721" s="29" t="s">
        <v>612</v>
      </c>
      <c r="B721" s="30">
        <v>27294663235.228466</v>
      </c>
      <c r="C721" s="30">
        <f t="shared" ref="C721" si="955">B721-B720</f>
        <v>-1428418762.7308922</v>
      </c>
      <c r="D721" s="32">
        <f t="shared" ref="D721" si="956">(B721/B720)-1</f>
        <v>-4.9730692647549923E-2</v>
      </c>
      <c r="E721" s="99"/>
      <c r="F721"/>
      <c r="G721"/>
    </row>
    <row r="722" spans="1:7" x14ac:dyDescent="0.3">
      <c r="A722" s="29" t="s">
        <v>613</v>
      </c>
      <c r="B722" s="30">
        <v>27869836715.958824</v>
      </c>
      <c r="C722" s="30">
        <f t="shared" ref="C722" si="957">B722-B721</f>
        <v>575173480.73035812</v>
      </c>
      <c r="D722" s="32">
        <f t="shared" ref="D722" si="958">(B722/B721)-1</f>
        <v>2.1072745092088008E-2</v>
      </c>
      <c r="E722" s="99"/>
      <c r="F722"/>
      <c r="G722"/>
    </row>
    <row r="723" spans="1:7" x14ac:dyDescent="0.3">
      <c r="A723" s="29" t="s">
        <v>614</v>
      </c>
      <c r="B723" s="30">
        <v>28774691974.756081</v>
      </c>
      <c r="C723" s="30">
        <f t="shared" ref="C723" si="959">B723-B722</f>
        <v>904855258.79725647</v>
      </c>
      <c r="D723" s="32">
        <f t="shared" ref="D723" si="960">(B723/B722)-1</f>
        <v>3.2467189098353E-2</v>
      </c>
      <c r="E723" s="99"/>
      <c r="F723"/>
      <c r="G723"/>
    </row>
    <row r="724" spans="1:7" x14ac:dyDescent="0.3">
      <c r="A724" s="29" t="s">
        <v>615</v>
      </c>
      <c r="B724" s="30">
        <v>28803212811.089977</v>
      </c>
      <c r="C724" s="30">
        <f t="shared" ref="C724" si="961">B724-B723</f>
        <v>28520836.333896637</v>
      </c>
      <c r="D724" s="32">
        <f t="shared" ref="D724" si="962">(B724/B723)-1</f>
        <v>9.911778155233808E-4</v>
      </c>
      <c r="E724" s="99"/>
      <c r="F724"/>
      <c r="G724"/>
    </row>
    <row r="725" spans="1:7" x14ac:dyDescent="0.3">
      <c r="A725" s="29" t="s">
        <v>616</v>
      </c>
      <c r="B725" s="30">
        <v>27670714370.781616</v>
      </c>
      <c r="C725" s="30">
        <f t="shared" ref="C725" si="963">B725-B724</f>
        <v>-1132498440.3083611</v>
      </c>
      <c r="D725" s="32">
        <f t="shared" ref="D725" si="964">(B725/B724)-1</f>
        <v>-3.9318476301099303E-2</v>
      </c>
      <c r="E725" s="99"/>
      <c r="F725"/>
      <c r="G725"/>
    </row>
    <row r="726" spans="1:7" x14ac:dyDescent="0.3">
      <c r="A726" s="29" t="s">
        <v>580</v>
      </c>
      <c r="B726" s="30">
        <v>28613859756.850735</v>
      </c>
      <c r="C726" s="30">
        <f t="shared" ref="C726" si="965">B726-B725</f>
        <v>943145386.0691185</v>
      </c>
      <c r="D726" s="32">
        <f t="shared" ref="D726" si="966">(B726/B725)-1</f>
        <v>3.408460560255766E-2</v>
      </c>
      <c r="E726" s="99"/>
      <c r="F726"/>
      <c r="G726"/>
    </row>
    <row r="727" spans="1:7" x14ac:dyDescent="0.3">
      <c r="A727" s="29" t="s">
        <v>617</v>
      </c>
      <c r="B727" s="30">
        <v>28760024268.883335</v>
      </c>
      <c r="C727" s="30">
        <f t="shared" ref="C727" si="967">B727-B726</f>
        <v>146164512.0326004</v>
      </c>
      <c r="D727" s="32">
        <f t="shared" ref="D727" si="968">(B727/B726)-1</f>
        <v>5.1081718186447578E-3</v>
      </c>
      <c r="E727" s="99"/>
      <c r="F727"/>
      <c r="G727"/>
    </row>
    <row r="728" spans="1:7" x14ac:dyDescent="0.3">
      <c r="A728" s="29" t="s">
        <v>618</v>
      </c>
      <c r="B728" s="30">
        <v>29196688410.471039</v>
      </c>
      <c r="C728" s="30">
        <f t="shared" ref="C728" si="969">B728-B727</f>
        <v>436664141.5877037</v>
      </c>
      <c r="D728" s="32">
        <f t="shared" ref="D728" si="970">(B728/B727)-1</f>
        <v>1.5183024099884035E-2</v>
      </c>
      <c r="E728" s="99"/>
      <c r="F728"/>
      <c r="G728"/>
    </row>
    <row r="729" spans="1:7" x14ac:dyDescent="0.3">
      <c r="A729" s="29" t="s">
        <v>619</v>
      </c>
      <c r="B729" s="30">
        <v>30174783492.550461</v>
      </c>
      <c r="C729" s="30">
        <f t="shared" ref="C729" si="971">B729-B728</f>
        <v>978095082.079422</v>
      </c>
      <c r="D729" s="32">
        <f t="shared" ref="D729" si="972">(B729/B728)-1</f>
        <v>3.3500206199023497E-2</v>
      </c>
      <c r="E729" s="99"/>
      <c r="F729"/>
      <c r="G729"/>
    </row>
    <row r="730" spans="1:7" x14ac:dyDescent="0.3">
      <c r="A730" s="29" t="s">
        <v>620</v>
      </c>
      <c r="B730" s="30">
        <v>30359398719.648239</v>
      </c>
      <c r="C730" s="30">
        <f t="shared" ref="C730" si="973">B730-B729</f>
        <v>184615227.09777832</v>
      </c>
      <c r="D730" s="32">
        <f t="shared" ref="D730" si="974">(B730/B729)-1</f>
        <v>6.1181955835194479E-3</v>
      </c>
      <c r="E730" s="37">
        <v>280000000</v>
      </c>
      <c r="F730" s="40" t="s">
        <v>182</v>
      </c>
      <c r="G730" s="29" t="s">
        <v>712</v>
      </c>
    </row>
    <row r="731" spans="1:7" x14ac:dyDescent="0.3">
      <c r="A731" s="29" t="s">
        <v>621</v>
      </c>
      <c r="B731" s="30">
        <v>30228549616.888603</v>
      </c>
      <c r="C731" s="30">
        <f t="shared" ref="C731:C732" si="975">B731-B730</f>
        <v>-130849102.75963593</v>
      </c>
      <c r="D731" s="32">
        <f t="shared" ref="D731:D732" si="976">(B731/B730)-1</f>
        <v>-4.3100031053958654E-3</v>
      </c>
      <c r="E731" s="99"/>
      <c r="F731"/>
      <c r="G731"/>
    </row>
    <row r="732" spans="1:7" x14ac:dyDescent="0.3">
      <c r="A732" s="29" t="s">
        <v>622</v>
      </c>
      <c r="B732" s="30">
        <v>30476382454.408821</v>
      </c>
      <c r="C732" s="30">
        <f t="shared" si="975"/>
        <v>247832837.5202179</v>
      </c>
      <c r="D732" s="32">
        <f t="shared" si="976"/>
        <v>8.1986347562554851E-3</v>
      </c>
      <c r="E732" s="99"/>
      <c r="F732"/>
      <c r="G732"/>
    </row>
    <row r="733" spans="1:7" x14ac:dyDescent="0.3">
      <c r="A733" s="29" t="s">
        <v>623</v>
      </c>
      <c r="B733" s="30">
        <v>30921716299.632893</v>
      </c>
      <c r="C733" s="30">
        <f t="shared" ref="C733" si="977">B733-B732</f>
        <v>445333845.2240715</v>
      </c>
      <c r="D733" s="32">
        <f t="shared" ref="D733" si="978">(B733/B732)-1</f>
        <v>1.4612424748582598E-2</v>
      </c>
      <c r="E733" s="99"/>
      <c r="F733"/>
      <c r="G733"/>
    </row>
    <row r="734" spans="1:7" x14ac:dyDescent="0.3">
      <c r="A734" s="29" t="s">
        <v>624</v>
      </c>
      <c r="B734" s="30">
        <v>30327007063.535671</v>
      </c>
      <c r="C734" s="30">
        <f t="shared" ref="C734" si="979">B734-B733</f>
        <v>-594709236.09722137</v>
      </c>
      <c r="D734" s="32">
        <f t="shared" ref="D734" si="980">(B734/B733)-1</f>
        <v>-1.9232736965000941E-2</v>
      </c>
      <c r="E734" s="99"/>
      <c r="F734"/>
      <c r="G734"/>
    </row>
    <row r="735" spans="1:7" x14ac:dyDescent="0.3">
      <c r="A735" s="29" t="s">
        <v>625</v>
      </c>
      <c r="B735" s="30">
        <v>30268462129.517258</v>
      </c>
      <c r="C735" s="30">
        <f t="shared" ref="C735" si="981">B735-B734</f>
        <v>-58544934.018413544</v>
      </c>
      <c r="D735" s="32">
        <f t="shared" ref="D735" si="982">(B735/B734)-1</f>
        <v>-1.9304553824174286E-3</v>
      </c>
      <c r="E735" s="37">
        <v>28000000</v>
      </c>
      <c r="F735" s="40" t="s">
        <v>182</v>
      </c>
      <c r="G735" s="29" t="s">
        <v>713</v>
      </c>
    </row>
    <row r="736" spans="1:7" x14ac:dyDescent="0.3">
      <c r="A736" s="29" t="s">
        <v>626</v>
      </c>
      <c r="B736" s="30">
        <v>30016654505.925903</v>
      </c>
      <c r="C736" s="30">
        <f t="shared" ref="C736" si="983">B736-B735</f>
        <v>-251807623.59135437</v>
      </c>
      <c r="D736" s="32">
        <f t="shared" ref="D736" si="984">(B736/B735)-1</f>
        <v>-8.3191416370571591E-3</v>
      </c>
      <c r="E736" s="99"/>
      <c r="F736"/>
      <c r="G736"/>
    </row>
    <row r="737" spans="1:7" x14ac:dyDescent="0.3">
      <c r="A737" s="29" t="s">
        <v>627</v>
      </c>
      <c r="B737" s="30">
        <v>30054980470.860405</v>
      </c>
      <c r="C737" s="30">
        <f t="shared" ref="C737" si="985">B737-B736</f>
        <v>38325964.934501648</v>
      </c>
      <c r="D737" s="32">
        <f t="shared" ref="D737" si="986">(B737/B736)-1</f>
        <v>1.2768233357562941E-3</v>
      </c>
      <c r="E737" s="99"/>
      <c r="F737"/>
      <c r="G737"/>
    </row>
    <row r="738" spans="1:7" x14ac:dyDescent="0.3">
      <c r="A738" s="29" t="s">
        <v>628</v>
      </c>
      <c r="B738" s="30">
        <v>29689161623.585564</v>
      </c>
      <c r="C738" s="30">
        <f t="shared" ref="C738" si="987">B738-B737</f>
        <v>-365818847.27484131</v>
      </c>
      <c r="D738" s="32">
        <f t="shared" ref="D738" si="988">(B738/B737)-1</f>
        <v>-1.2171654798761811E-2</v>
      </c>
      <c r="E738" s="99"/>
      <c r="F738"/>
      <c r="G738"/>
    </row>
    <row r="739" spans="1:7" x14ac:dyDescent="0.3">
      <c r="A739" s="29" t="s">
        <v>629</v>
      </c>
      <c r="B739" s="30">
        <v>30097144958.806767</v>
      </c>
      <c r="C739" s="30">
        <f t="shared" ref="C739" si="989">B739-B738</f>
        <v>407983335.22120285</v>
      </c>
      <c r="D739" s="32">
        <f t="shared" ref="D739" si="990">(B739/B738)-1</f>
        <v>1.3741827418161101E-2</v>
      </c>
      <c r="E739" s="37">
        <v>255000000</v>
      </c>
      <c r="F739" s="40" t="s">
        <v>182</v>
      </c>
      <c r="G739" s="29" t="s">
        <v>714</v>
      </c>
    </row>
    <row r="740" spans="1:7" x14ac:dyDescent="0.3">
      <c r="A740" s="29" t="s">
        <v>630</v>
      </c>
      <c r="B740" s="30">
        <v>30559521116.717472</v>
      </c>
      <c r="C740" s="30">
        <f t="shared" ref="C740" si="991">B740-B739</f>
        <v>462376157.91070557</v>
      </c>
      <c r="D740" s="32">
        <f t="shared" ref="D740" si="992">(B740/B739)-1</f>
        <v>1.5362791339296411E-2</v>
      </c>
      <c r="E740" s="99"/>
      <c r="F740"/>
      <c r="G740"/>
    </row>
    <row r="741" spans="1:7" x14ac:dyDescent="0.3">
      <c r="A741" s="29" t="s">
        <v>631</v>
      </c>
      <c r="B741" s="30">
        <v>31442696607.205906</v>
      </c>
      <c r="C741" s="30">
        <f t="shared" ref="C741" si="993">B741-B740</f>
        <v>883175490.48843384</v>
      </c>
      <c r="D741" s="32">
        <f t="shared" ref="D741" si="994">(B741/B740)-1</f>
        <v>2.8900174420773084E-2</v>
      </c>
      <c r="E741" s="37">
        <v>200000000</v>
      </c>
      <c r="F741" s="40" t="s">
        <v>182</v>
      </c>
      <c r="G741" s="29" t="s">
        <v>4</v>
      </c>
    </row>
    <row r="742" spans="1:7" x14ac:dyDescent="0.3">
      <c r="A742" s="29" t="s">
        <v>632</v>
      </c>
      <c r="B742" s="30">
        <v>31638253677.319229</v>
      </c>
      <c r="C742" s="30">
        <f t="shared" ref="C742" si="995">B742-B741</f>
        <v>195557070.11332321</v>
      </c>
      <c r="D742" s="32">
        <f t="shared" ref="D742" si="996">(B742/B741)-1</f>
        <v>6.2194751473225729E-3</v>
      </c>
      <c r="E742" s="99"/>
      <c r="F742"/>
      <c r="G742"/>
    </row>
    <row r="743" spans="1:7" x14ac:dyDescent="0.3">
      <c r="A743" s="29" t="s">
        <v>633</v>
      </c>
      <c r="B743" s="30">
        <v>31862491072.772079</v>
      </c>
      <c r="C743" s="30">
        <f t="shared" ref="C743" si="997">B743-B742</f>
        <v>224237395.45285034</v>
      </c>
      <c r="D743" s="32">
        <f t="shared" ref="D743" si="998">(B743/B742)-1</f>
        <v>7.0875402207677407E-3</v>
      </c>
      <c r="E743" s="99"/>
      <c r="F743"/>
      <c r="G743"/>
    </row>
    <row r="744" spans="1:7" x14ac:dyDescent="0.3">
      <c r="A744" s="29" t="s">
        <v>634</v>
      </c>
      <c r="B744" s="30">
        <v>31711584526.333393</v>
      </c>
      <c r="C744" s="30">
        <f t="shared" ref="C744" si="999">B744-B743</f>
        <v>-150906546.43868637</v>
      </c>
      <c r="D744" s="32">
        <f t="shared" ref="D744" si="1000">(B744/B743)-1</f>
        <v>-4.7361816781376076E-3</v>
      </c>
      <c r="E744" s="99"/>
      <c r="F744"/>
      <c r="G744"/>
    </row>
    <row r="745" spans="1:7" x14ac:dyDescent="0.3">
      <c r="A745" s="29" t="s">
        <v>635</v>
      </c>
      <c r="B745" s="30">
        <v>32165976045.953262</v>
      </c>
      <c r="C745" s="30">
        <f t="shared" ref="C745" si="1001">B745-B744</f>
        <v>454391519.61986923</v>
      </c>
      <c r="D745" s="32">
        <f t="shared" ref="D745" si="1002">(B745/B744)-1</f>
        <v>1.4328880956501644E-2</v>
      </c>
      <c r="E745" s="99"/>
      <c r="F745"/>
      <c r="G745"/>
    </row>
    <row r="746" spans="1:7" x14ac:dyDescent="0.3">
      <c r="A746" s="29" t="s">
        <v>636</v>
      </c>
      <c r="B746" s="30">
        <v>32719862251.701935</v>
      </c>
      <c r="C746" s="30">
        <f t="shared" ref="C746" si="1003">B746-B745</f>
        <v>553886205.74867249</v>
      </c>
      <c r="D746" s="32">
        <f t="shared" ref="D746" si="1004">(B746/B745)-1</f>
        <v>1.7219629989072116E-2</v>
      </c>
      <c r="E746" s="99"/>
      <c r="F746"/>
      <c r="G746"/>
    </row>
    <row r="747" spans="1:7" x14ac:dyDescent="0.3">
      <c r="A747" s="29" t="s">
        <v>637</v>
      </c>
      <c r="B747" s="30">
        <v>33278995331.447948</v>
      </c>
      <c r="C747" s="30">
        <f t="shared" ref="C747" si="1005">B747-B746</f>
        <v>559133079.74601364</v>
      </c>
      <c r="D747" s="32">
        <f t="shared" ref="D747" si="1006">(B747/B746)-1</f>
        <v>1.708849124867351E-2</v>
      </c>
      <c r="E747" s="99"/>
      <c r="F747"/>
      <c r="G747"/>
    </row>
    <row r="748" spans="1:7" x14ac:dyDescent="0.3">
      <c r="A748" s="29" t="s">
        <v>638</v>
      </c>
      <c r="B748" s="30">
        <v>33452006951.96323</v>
      </c>
      <c r="C748" s="30">
        <f t="shared" ref="C748" si="1007">B748-B747</f>
        <v>173011620.51528168</v>
      </c>
      <c r="D748" s="32">
        <f t="shared" ref="D748" si="1008">(B748/B747)-1</f>
        <v>5.1988234257718258E-3</v>
      </c>
      <c r="E748" s="99"/>
      <c r="F748"/>
      <c r="G748"/>
    </row>
    <row r="749" spans="1:7" x14ac:dyDescent="0.3">
      <c r="A749" s="29" t="s">
        <v>639</v>
      </c>
      <c r="B749" s="30">
        <v>33375443755.842793</v>
      </c>
      <c r="C749" s="30">
        <f t="shared" ref="C749" si="1009">B749-B748</f>
        <v>-76563196.120437622</v>
      </c>
      <c r="D749" s="32">
        <f t="shared" ref="D749" si="1010">(B749/B748)-1</f>
        <v>-2.2887474652980577E-3</v>
      </c>
      <c r="E749" s="99"/>
      <c r="F749"/>
      <c r="G749"/>
    </row>
    <row r="750" spans="1:7" x14ac:dyDescent="0.3">
      <c r="A750" s="29" t="s">
        <v>587</v>
      </c>
      <c r="B750" s="30">
        <v>33117313736.431145</v>
      </c>
      <c r="C750" s="30">
        <f t="shared" ref="C750" si="1011">B750-B749</f>
        <v>-258130019.4116478</v>
      </c>
      <c r="D750" s="32">
        <f t="shared" ref="D750" si="1012">(B750/B749)-1</f>
        <v>-7.7341299579413159E-3</v>
      </c>
      <c r="E750" s="99"/>
      <c r="F750"/>
      <c r="G750"/>
    </row>
    <row r="751" spans="1:7" x14ac:dyDescent="0.3">
      <c r="A751" s="29" t="s">
        <v>640</v>
      </c>
      <c r="B751" s="30">
        <v>33248210693.341705</v>
      </c>
      <c r="C751" s="30">
        <f t="shared" ref="C751" si="1013">B751-B750</f>
        <v>130896956.91056061</v>
      </c>
      <c r="D751" s="32">
        <f t="shared" ref="D751" si="1014">(B751/B750)-1</f>
        <v>3.9525233825521422E-3</v>
      </c>
      <c r="E751" s="37">
        <v>75000000</v>
      </c>
      <c r="F751" s="40" t="s">
        <v>182</v>
      </c>
      <c r="G751" s="29" t="s">
        <v>6</v>
      </c>
    </row>
    <row r="752" spans="1:7" x14ac:dyDescent="0.3">
      <c r="A752" s="29" t="s">
        <v>641</v>
      </c>
      <c r="B752" s="30">
        <v>33152191016.230335</v>
      </c>
      <c r="C752" s="30">
        <f t="shared" ref="C752" si="1015">B752-B751</f>
        <v>-96019677.111370087</v>
      </c>
      <c r="D752" s="32">
        <f t="shared" ref="D752" si="1016">(B752/B751)-1</f>
        <v>-2.8879652501299091E-3</v>
      </c>
      <c r="E752" s="99"/>
      <c r="F752"/>
      <c r="G752"/>
    </row>
    <row r="753" spans="1:7" x14ac:dyDescent="0.3">
      <c r="A753" s="29" t="s">
        <v>642</v>
      </c>
      <c r="B753" s="30">
        <v>33268574169.18803</v>
      </c>
      <c r="C753" s="30">
        <f t="shared" ref="C753" si="1017">B753-B752</f>
        <v>116383152.95769501</v>
      </c>
      <c r="D753" s="32">
        <f t="shared" ref="D753" si="1018">(B753/B752)-1</f>
        <v>3.5105719830317295E-3</v>
      </c>
      <c r="E753" s="99"/>
      <c r="F753"/>
      <c r="G753"/>
    </row>
    <row r="754" spans="1:7" x14ac:dyDescent="0.3">
      <c r="A754" s="29" t="s">
        <v>643</v>
      </c>
      <c r="B754" s="30">
        <v>33372280265.571949</v>
      </c>
      <c r="C754" s="30">
        <f t="shared" ref="C754" si="1019">B754-B753</f>
        <v>103706096.38391876</v>
      </c>
      <c r="D754" s="32">
        <f t="shared" ref="D754" si="1020">(B754/B753)-1</f>
        <v>3.1172389852514026E-3</v>
      </c>
      <c r="E754" s="99"/>
      <c r="F754"/>
      <c r="G754"/>
    </row>
    <row r="755" spans="1:7" x14ac:dyDescent="0.3">
      <c r="A755" s="29" t="s">
        <v>644</v>
      </c>
      <c r="B755" s="30">
        <v>33608023738.993652</v>
      </c>
      <c r="C755" s="30">
        <f t="shared" ref="C755" si="1021">B755-B754</f>
        <v>235743473.42170334</v>
      </c>
      <c r="D755" s="32">
        <f t="shared" ref="D755" si="1022">(B755/B754)-1</f>
        <v>7.0640505097550044E-3</v>
      </c>
      <c r="E755" s="99"/>
      <c r="F755"/>
      <c r="G755"/>
    </row>
    <row r="756" spans="1:7" x14ac:dyDescent="0.3">
      <c r="A756" s="29" t="s">
        <v>645</v>
      </c>
      <c r="B756" s="30">
        <v>33507112475.585835</v>
      </c>
      <c r="C756" s="30">
        <f t="shared" ref="C756" si="1023">B756-B755</f>
        <v>-100911263.40781784</v>
      </c>
      <c r="D756" s="32">
        <f t="shared" ref="D756" si="1024">(B756/B755)-1</f>
        <v>-3.0025943861357041E-3</v>
      </c>
      <c r="E756" s="99"/>
      <c r="F756"/>
      <c r="G756"/>
    </row>
    <row r="757" spans="1:7" x14ac:dyDescent="0.3">
      <c r="A757" s="29" t="s">
        <v>646</v>
      </c>
      <c r="B757" s="30">
        <v>34169499900</v>
      </c>
      <c r="C757" s="30">
        <f t="shared" ref="C757" si="1025">B757-B756</f>
        <v>662387424.4141655</v>
      </c>
      <c r="D757" s="32">
        <f t="shared" ref="D757" si="1026">(B757/B756)-1</f>
        <v>1.9768561820920905E-2</v>
      </c>
      <c r="E757" s="37">
        <v>50000000</v>
      </c>
      <c r="F757" s="40" t="s">
        <v>182</v>
      </c>
      <c r="G757" s="29" t="s">
        <v>5</v>
      </c>
    </row>
    <row r="758" spans="1:7" x14ac:dyDescent="0.3">
      <c r="A758" s="29" t="s">
        <v>647</v>
      </c>
      <c r="B758" s="30">
        <v>34137386738</v>
      </c>
      <c r="C758" s="30">
        <f t="shared" ref="C758" si="1027">B758-B757</f>
        <v>-32113162</v>
      </c>
      <c r="D758" s="32">
        <f t="shared" ref="D758" si="1028">(B758/B757)-1</f>
        <v>-9.3981949089050332E-4</v>
      </c>
      <c r="E758" s="99"/>
      <c r="F758"/>
      <c r="G758"/>
    </row>
    <row r="759" spans="1:7" x14ac:dyDescent="0.3">
      <c r="A759" s="29" t="s">
        <v>648</v>
      </c>
      <c r="B759" s="30">
        <v>33631034541</v>
      </c>
      <c r="C759" s="30">
        <f t="shared" ref="C759" si="1029">B759-B758</f>
        <v>-506352197</v>
      </c>
      <c r="D759" s="32">
        <f t="shared" ref="D759" si="1030">(B759/B758)-1</f>
        <v>-1.4832775598383918E-2</v>
      </c>
      <c r="E759" s="99"/>
      <c r="F759"/>
      <c r="G759"/>
    </row>
    <row r="760" spans="1:7" x14ac:dyDescent="0.3">
      <c r="A760" s="29" t="s">
        <v>649</v>
      </c>
      <c r="B760" s="30">
        <v>33626302694.581955</v>
      </c>
      <c r="C760" s="30">
        <f t="shared" ref="C760" si="1031">B760-B759</f>
        <v>-4731846.4180450439</v>
      </c>
      <c r="D760" s="32">
        <f t="shared" ref="D760" si="1032">(B760/B759)-1</f>
        <v>-1.4069880640388277E-4</v>
      </c>
      <c r="E760" s="37">
        <v>50000000</v>
      </c>
      <c r="F760" s="40" t="s">
        <v>182</v>
      </c>
      <c r="G760" s="29" t="s">
        <v>1</v>
      </c>
    </row>
    <row r="761" spans="1:7" x14ac:dyDescent="0.3">
      <c r="A761" s="29" t="s">
        <v>650</v>
      </c>
      <c r="B761" s="30">
        <v>33228327252.127586</v>
      </c>
      <c r="C761" s="30">
        <f t="shared" ref="C761" si="1033">B761-B760</f>
        <v>-397975442.45436859</v>
      </c>
      <c r="D761" s="32">
        <f t="shared" ref="D761" si="1034">(B761/B760)-1</f>
        <v>-1.1835242371695309E-2</v>
      </c>
      <c r="E761" s="99"/>
      <c r="F761"/>
      <c r="G761"/>
    </row>
    <row r="762" spans="1:7" x14ac:dyDescent="0.3">
      <c r="A762" s="29" t="s">
        <v>651</v>
      </c>
      <c r="B762" s="30">
        <v>32822376791.250072</v>
      </c>
      <c r="C762" s="30">
        <f t="shared" ref="C762" si="1035">B762-B761</f>
        <v>-405950460.87751389</v>
      </c>
      <c r="D762" s="32">
        <f t="shared" ref="D762" si="1036">(B762/B761)-1</f>
        <v>-1.2216999603900325E-2</v>
      </c>
      <c r="E762" s="99"/>
      <c r="F762"/>
      <c r="G762"/>
    </row>
    <row r="763" spans="1:7" x14ac:dyDescent="0.3">
      <c r="A763" s="29" t="s">
        <v>652</v>
      </c>
      <c r="B763" s="30">
        <v>32082888242.132221</v>
      </c>
      <c r="C763" s="30">
        <f t="shared" ref="C763" si="1037">B763-B762</f>
        <v>-739488549.11785126</v>
      </c>
      <c r="D763" s="32">
        <f t="shared" ref="D763" si="1038">(B763/B762)-1</f>
        <v>-2.2530012187142567E-2</v>
      </c>
      <c r="E763" s="99"/>
      <c r="F763"/>
      <c r="G763"/>
    </row>
    <row r="764" spans="1:7" x14ac:dyDescent="0.3">
      <c r="A764" s="29" t="s">
        <v>653</v>
      </c>
      <c r="B764" s="30">
        <v>32208455565.312782</v>
      </c>
      <c r="C764" s="30">
        <f t="shared" ref="C764" si="1039">B764-B763</f>
        <v>125567323.18056107</v>
      </c>
      <c r="D764" s="32">
        <f t="shared" ref="D764" si="1040">(B764/B763)-1</f>
        <v>3.913840993145401E-3</v>
      </c>
      <c r="E764" s="99"/>
      <c r="F764"/>
      <c r="G764"/>
    </row>
    <row r="765" spans="1:7" x14ac:dyDescent="0.3">
      <c r="A765" s="29" t="s">
        <v>654</v>
      </c>
      <c r="B765" s="30">
        <v>32835182812.865971</v>
      </c>
      <c r="C765" s="30">
        <f t="shared" ref="C765" si="1041">B765-B764</f>
        <v>626727247.55318832</v>
      </c>
      <c r="D765" s="32">
        <f t="shared" ref="D765" si="1042">(B765/B764)-1</f>
        <v>1.9458469415967627E-2</v>
      </c>
      <c r="E765" s="37">
        <v>146000000</v>
      </c>
      <c r="F765" s="40" t="s">
        <v>182</v>
      </c>
      <c r="G765" s="29" t="s">
        <v>716</v>
      </c>
    </row>
    <row r="766" spans="1:7" x14ac:dyDescent="0.3">
      <c r="A766" s="29" t="s">
        <v>655</v>
      </c>
      <c r="B766" s="30">
        <v>32743384408.360111</v>
      </c>
      <c r="C766" s="30">
        <f t="shared" ref="C766" si="1043">B766-B765</f>
        <v>-91798404.505859375</v>
      </c>
      <c r="D766" s="32">
        <f t="shared" ref="D766" si="1044">(B766/B765)-1</f>
        <v>-2.7957330108084877E-3</v>
      </c>
      <c r="E766" s="37">
        <v>85000000</v>
      </c>
      <c r="F766" s="40" t="s">
        <v>182</v>
      </c>
      <c r="G766" s="29" t="s">
        <v>5</v>
      </c>
    </row>
    <row r="767" spans="1:7" x14ac:dyDescent="0.3">
      <c r="A767" s="29" t="s">
        <v>656</v>
      </c>
      <c r="B767" s="30">
        <v>32345316408.356129</v>
      </c>
      <c r="C767" s="30">
        <f t="shared" ref="C767" si="1045">B767-B766</f>
        <v>-398068000.00398254</v>
      </c>
      <c r="D767" s="32">
        <f t="shared" ref="D767" si="1046">(B767/B766)-1</f>
        <v>-1.2157203880926448E-2</v>
      </c>
      <c r="E767" s="37"/>
      <c r="F767" s="40"/>
    </row>
    <row r="768" spans="1:7" x14ac:dyDescent="0.3">
      <c r="A768" s="29" t="s">
        <v>657</v>
      </c>
      <c r="B768" s="30">
        <v>32443778302.976234</v>
      </c>
      <c r="C768" s="30">
        <f t="shared" ref="C768" si="1047">B768-B767</f>
        <v>98461894.620105743</v>
      </c>
      <c r="D768" s="32">
        <f t="shared" ref="D768" si="1048">(B768/B767)-1</f>
        <v>3.0440850655790719E-3</v>
      </c>
    </row>
    <row r="769" spans="1:7" x14ac:dyDescent="0.3">
      <c r="A769" s="29" t="s">
        <v>658</v>
      </c>
      <c r="B769" s="30">
        <v>32445596450.659195</v>
      </c>
      <c r="C769" s="30">
        <f t="shared" ref="C769" si="1049">B769-B768</f>
        <v>1818147.6829605103</v>
      </c>
      <c r="D769" s="32">
        <f t="shared" ref="D769" si="1050">(B769/B768)-1</f>
        <v>5.6039949046127191E-5</v>
      </c>
    </row>
    <row r="770" spans="1:7" x14ac:dyDescent="0.3">
      <c r="A770" s="29" t="s">
        <v>659</v>
      </c>
      <c r="B770" s="30">
        <v>32528014103.292202</v>
      </c>
      <c r="C770" s="30">
        <f t="shared" ref="C770:C771" si="1051">B770-B769</f>
        <v>82417652.63300705</v>
      </c>
      <c r="D770" s="32">
        <f t="shared" ref="D770:D771" si="1052">(B770/B769)-1</f>
        <v>2.5401799211286491E-3</v>
      </c>
      <c r="E770" s="37"/>
      <c r="F770" s="40"/>
    </row>
    <row r="771" spans="1:7" x14ac:dyDescent="0.3">
      <c r="A771" s="29" t="s">
        <v>660</v>
      </c>
      <c r="B771" s="30">
        <v>32885351426.558167</v>
      </c>
      <c r="C771" s="30">
        <f t="shared" si="1051"/>
        <v>357337323.26596451</v>
      </c>
      <c r="D771" s="32">
        <f t="shared" si="1052"/>
        <v>1.0985525342286362E-2</v>
      </c>
      <c r="E771" s="37"/>
      <c r="F771" s="40"/>
    </row>
    <row r="772" spans="1:7" x14ac:dyDescent="0.3">
      <c r="A772" s="29" t="s">
        <v>661</v>
      </c>
      <c r="B772" s="30">
        <v>32579250919.138847</v>
      </c>
      <c r="C772" s="30">
        <f t="shared" ref="C772" si="1053">B772-B771</f>
        <v>-306100507.41931915</v>
      </c>
      <c r="D772" s="32">
        <f t="shared" ref="D772" si="1054">(B772/B771)-1</f>
        <v>-9.3081111844866005E-3</v>
      </c>
      <c r="E772" s="37"/>
      <c r="F772" s="40"/>
    </row>
    <row r="773" spans="1:7" x14ac:dyDescent="0.3">
      <c r="A773" s="29" t="s">
        <v>662</v>
      </c>
      <c r="B773" s="30">
        <v>32282335901.120926</v>
      </c>
      <c r="C773" s="30">
        <f t="shared" ref="C773" si="1055">B773-B772</f>
        <v>-296915018.01792145</v>
      </c>
      <c r="D773" s="32">
        <f t="shared" ref="D773" si="1056">(B773/B772)-1</f>
        <v>-9.1136232307753584E-3</v>
      </c>
    </row>
    <row r="774" spans="1:7" x14ac:dyDescent="0.3">
      <c r="A774" s="29" t="s">
        <v>663</v>
      </c>
      <c r="B774" s="30">
        <v>32744049192.109653</v>
      </c>
      <c r="C774" s="30">
        <f t="shared" ref="C774" si="1057">B774-B773</f>
        <v>461713290.98872757</v>
      </c>
      <c r="D774" s="32">
        <f t="shared" ref="D774" si="1058">(B774/B773)-1</f>
        <v>1.4302350746951298E-2</v>
      </c>
    </row>
    <row r="775" spans="1:7" x14ac:dyDescent="0.3">
      <c r="A775" s="29" t="s">
        <v>664</v>
      </c>
      <c r="B775" s="30">
        <v>32928877535.379917</v>
      </c>
      <c r="C775" s="30">
        <f t="shared" ref="C775" si="1059">B775-B774</f>
        <v>184828343.27026367</v>
      </c>
      <c r="D775" s="32">
        <f t="shared" ref="D775" si="1060">(B775/B774)-1</f>
        <v>5.6446391888147485E-3</v>
      </c>
    </row>
    <row r="776" spans="1:7" x14ac:dyDescent="0.3">
      <c r="A776" s="29" t="s">
        <v>665</v>
      </c>
      <c r="B776" s="30">
        <v>33241639914.511848</v>
      </c>
      <c r="C776" s="30">
        <f t="shared" ref="C776" si="1061">B776-B775</f>
        <v>312762379.1319313</v>
      </c>
      <c r="D776" s="32">
        <f t="shared" ref="D776" si="1062">(B776/B775)-1</f>
        <v>9.4981184462146206E-3</v>
      </c>
    </row>
    <row r="777" spans="1:7" x14ac:dyDescent="0.3">
      <c r="A777" s="29" t="s">
        <v>666</v>
      </c>
      <c r="B777" s="30">
        <v>32800315343.481186</v>
      </c>
      <c r="C777" s="30">
        <f t="shared" ref="C777" si="1063">B777-B776</f>
        <v>-441324571.03066254</v>
      </c>
      <c r="D777" s="32">
        <f t="shared" ref="D777" si="1064">(B777/B776)-1</f>
        <v>-1.3276257494083454E-2</v>
      </c>
    </row>
    <row r="778" spans="1:7" x14ac:dyDescent="0.3">
      <c r="A778" s="29" t="s">
        <v>667</v>
      </c>
      <c r="B778" s="30">
        <v>32525310813.864658</v>
      </c>
      <c r="C778" s="30">
        <f t="shared" ref="C778" si="1065">B778-B777</f>
        <v>-275004529.61652756</v>
      </c>
      <c r="D778" s="32">
        <f t="shared" ref="D778" si="1066">(B778/B777)-1</f>
        <v>-8.3842038326983337E-3</v>
      </c>
    </row>
    <row r="779" spans="1:7" x14ac:dyDescent="0.3">
      <c r="A779" s="29" t="s">
        <v>668</v>
      </c>
      <c r="B779" s="30">
        <v>32680550618.945747</v>
      </c>
      <c r="C779" s="30">
        <f t="shared" ref="C779" si="1067">B779-B778</f>
        <v>155239805.08108902</v>
      </c>
      <c r="D779" s="32">
        <f t="shared" ref="D779" si="1068">(B779/B778)-1</f>
        <v>4.7728922859335832E-3</v>
      </c>
      <c r="E779" s="37"/>
      <c r="F779" s="40"/>
    </row>
    <row r="780" spans="1:7" x14ac:dyDescent="0.3">
      <c r="A780" s="29" t="s">
        <v>669</v>
      </c>
      <c r="B780" s="30">
        <v>31677053489.617546</v>
      </c>
      <c r="C780" s="30">
        <f t="shared" ref="C780" si="1069">B780-B779</f>
        <v>-1003497129.3282013</v>
      </c>
      <c r="D780" s="32">
        <f t="shared" ref="D780" si="1070">(B780/B779)-1</f>
        <v>-3.070624913970843E-2</v>
      </c>
      <c r="E780" s="37"/>
      <c r="F780" s="40"/>
    </row>
    <row r="781" spans="1:7" x14ac:dyDescent="0.3">
      <c r="A781" s="29" t="s">
        <v>670</v>
      </c>
      <c r="B781" s="30">
        <v>31042795230.087563</v>
      </c>
      <c r="C781" s="30">
        <f t="shared" ref="C781" si="1071">B781-B780</f>
        <v>-634258259.52998352</v>
      </c>
      <c r="D781" s="32">
        <f t="shared" ref="D781" si="1072">(B781/B780)-1</f>
        <v>-2.0022640670726122E-2</v>
      </c>
    </row>
    <row r="782" spans="1:7" x14ac:dyDescent="0.3">
      <c r="A782" s="29" t="s">
        <v>671</v>
      </c>
      <c r="B782" s="30">
        <v>30965593896.377602</v>
      </c>
      <c r="C782" s="30">
        <f t="shared" ref="C782" si="1073">B782-B781</f>
        <v>-77201333.709960938</v>
      </c>
      <c r="D782" s="32">
        <f t="shared" ref="D782" si="1074">(B782/B781)-1</f>
        <v>-2.4869324150015304E-3</v>
      </c>
    </row>
    <row r="783" spans="1:7" x14ac:dyDescent="0.3">
      <c r="A783" s="29" t="s">
        <v>672</v>
      </c>
      <c r="B783" s="30">
        <v>29814699575.21312</v>
      </c>
      <c r="C783" s="30">
        <f t="shared" ref="C783" si="1075">B783-B782</f>
        <v>-1150894321.1644821</v>
      </c>
      <c r="D783" s="32">
        <f t="shared" ref="D783" si="1076">(B783/B782)-1</f>
        <v>-3.7166873821823154E-2</v>
      </c>
      <c r="E783" s="99"/>
      <c r="F783"/>
      <c r="G783"/>
    </row>
    <row r="784" spans="1:7" x14ac:dyDescent="0.3">
      <c r="A784" s="29" t="s">
        <v>673</v>
      </c>
      <c r="B784" s="30">
        <v>30089323389.839314</v>
      </c>
      <c r="C784" s="30">
        <f t="shared" ref="C784" si="1077">B784-B783</f>
        <v>274623814.626194</v>
      </c>
      <c r="D784" s="32">
        <f t="shared" ref="D784" si="1078">(B784/B783)-1</f>
        <v>9.2110206890867463E-3</v>
      </c>
      <c r="E784" s="99"/>
      <c r="F784"/>
      <c r="G784"/>
    </row>
    <row r="785" spans="1:7" x14ac:dyDescent="0.3">
      <c r="A785" s="29" t="s">
        <v>674</v>
      </c>
      <c r="B785" s="30">
        <v>30596731644.629284</v>
      </c>
      <c r="C785" s="30">
        <f t="shared" ref="C785" si="1079">B785-B784</f>
        <v>507408254.7899704</v>
      </c>
      <c r="D785" s="32">
        <f t="shared" ref="D785" si="1080">(B785/B784)-1</f>
        <v>1.6863398628674808E-2</v>
      </c>
      <c r="E785" s="37">
        <v>143200000</v>
      </c>
      <c r="F785" s="40" t="s">
        <v>182</v>
      </c>
      <c r="G785" s="29" t="s">
        <v>6</v>
      </c>
    </row>
    <row r="786" spans="1:7" x14ac:dyDescent="0.3">
      <c r="A786" s="29" t="s">
        <v>675</v>
      </c>
      <c r="B786" s="30">
        <v>31207517248.092175</v>
      </c>
      <c r="C786" s="30">
        <f t="shared" ref="C786" si="1081">B786-B785</f>
        <v>610785603.46289063</v>
      </c>
      <c r="D786" s="32">
        <f t="shared" ref="D786" si="1082">(B786/B785)-1</f>
        <v>1.9962446007533163E-2</v>
      </c>
      <c r="E786" s="99"/>
      <c r="F786"/>
      <c r="G786"/>
    </row>
    <row r="787" spans="1:7" x14ac:dyDescent="0.3">
      <c r="A787" s="29" t="s">
        <v>676</v>
      </c>
      <c r="B787" s="30">
        <v>30823461295.140053</v>
      </c>
      <c r="C787" s="30">
        <f t="shared" ref="C787:C789" si="1083">B787-B786</f>
        <v>-384055952.95212173</v>
      </c>
      <c r="D787" s="32">
        <f t="shared" ref="D787:D789" si="1084">(B787/B786)-1</f>
        <v>-1.2306520569995039E-2</v>
      </c>
      <c r="E787" s="99"/>
      <c r="F787"/>
      <c r="G787"/>
    </row>
    <row r="788" spans="1:7" x14ac:dyDescent="0.3">
      <c r="A788" s="29" t="s">
        <v>677</v>
      </c>
      <c r="B788" s="30">
        <v>30263912872.143867</v>
      </c>
      <c r="C788" s="30">
        <f t="shared" si="1083"/>
        <v>-559548422.9961853</v>
      </c>
      <c r="D788" s="32">
        <f t="shared" si="1084"/>
        <v>-1.8153328649187395E-2</v>
      </c>
      <c r="E788" s="99"/>
      <c r="F788"/>
      <c r="G788"/>
    </row>
    <row r="789" spans="1:7" x14ac:dyDescent="0.3">
      <c r="A789" s="29" t="s">
        <v>678</v>
      </c>
      <c r="B789" s="30">
        <v>30284811402.710304</v>
      </c>
      <c r="C789" s="30">
        <f t="shared" si="1083"/>
        <v>20898530.566436768</v>
      </c>
      <c r="D789" s="32">
        <f t="shared" si="1084"/>
        <v>6.9054291342718344E-4</v>
      </c>
      <c r="E789" s="37">
        <v>155300000</v>
      </c>
      <c r="F789" s="40" t="s">
        <v>182</v>
      </c>
      <c r="G789" s="29" t="s">
        <v>5</v>
      </c>
    </row>
    <row r="790" spans="1:7" x14ac:dyDescent="0.3">
      <c r="A790" s="29" t="s">
        <v>679</v>
      </c>
      <c r="B790" s="30">
        <v>30969703769.345631</v>
      </c>
      <c r="C790" s="30">
        <f t="shared" ref="C790" si="1085">B790-B789</f>
        <v>684892366.63532639</v>
      </c>
      <c r="D790" s="32">
        <f t="shared" ref="D790" si="1086">(B790/B789)-1</f>
        <v>2.2615044800115003E-2</v>
      </c>
      <c r="E790" s="99"/>
      <c r="F790"/>
      <c r="G790"/>
    </row>
    <row r="791" spans="1:7" x14ac:dyDescent="0.3">
      <c r="A791" s="29" t="s">
        <v>680</v>
      </c>
      <c r="B791" s="30">
        <v>30917988344.604713</v>
      </c>
      <c r="C791" s="30">
        <f t="shared" ref="C791" si="1087">B791-B790</f>
        <v>-51715424.740917206</v>
      </c>
      <c r="D791" s="32">
        <f t="shared" ref="D791" si="1088">(B791/B790)-1</f>
        <v>-1.669871469423212E-3</v>
      </c>
      <c r="E791" s="99"/>
      <c r="F791"/>
      <c r="G791"/>
    </row>
    <row r="792" spans="1:7" x14ac:dyDescent="0.3">
      <c r="A792" s="29" t="s">
        <v>681</v>
      </c>
      <c r="B792" s="30">
        <v>31190811599.337612</v>
      </c>
      <c r="C792" s="30">
        <f t="shared" ref="C792" si="1089">B792-B791</f>
        <v>272823254.73289871</v>
      </c>
      <c r="D792" s="32">
        <f t="shared" ref="D792" si="1090">(B792/B791)-1</f>
        <v>8.8240946238828943E-3</v>
      </c>
      <c r="E792" s="99"/>
      <c r="F792"/>
      <c r="G792"/>
    </row>
    <row r="793" spans="1:7" x14ac:dyDescent="0.3">
      <c r="A793" s="29" t="s">
        <v>682</v>
      </c>
      <c r="B793" s="30">
        <v>31317431650.976635</v>
      </c>
      <c r="C793" s="30">
        <f t="shared" ref="C793" si="1091">B793-B792</f>
        <v>126620051.63902283</v>
      </c>
      <c r="D793" s="32">
        <f t="shared" ref="D793" si="1092">(B793/B792)-1</f>
        <v>4.0595305202546506E-3</v>
      </c>
      <c r="E793" s="99"/>
      <c r="F793"/>
      <c r="G793"/>
    </row>
    <row r="794" spans="1:7" x14ac:dyDescent="0.3">
      <c r="A794" s="29" t="s">
        <v>683</v>
      </c>
      <c r="B794" s="30">
        <v>31272515180.512711</v>
      </c>
      <c r="C794" s="30">
        <f t="shared" ref="C794" si="1093">B794-B793</f>
        <v>-44916470.463924408</v>
      </c>
      <c r="D794" s="32">
        <f t="shared" ref="D794" si="1094">(B794/B793)-1</f>
        <v>-1.4342322500933147E-3</v>
      </c>
      <c r="E794" s="37">
        <v>7200000</v>
      </c>
      <c r="F794" s="40" t="s">
        <v>182</v>
      </c>
      <c r="G794" s="29" t="s">
        <v>718</v>
      </c>
    </row>
    <row r="795" spans="1:7" x14ac:dyDescent="0.3">
      <c r="A795" s="29" t="s">
        <v>684</v>
      </c>
      <c r="B795" s="30">
        <v>31079175248.885441</v>
      </c>
      <c r="C795" s="30">
        <f t="shared" ref="C795" si="1095">B795-B794</f>
        <v>-193339931.62726974</v>
      </c>
      <c r="D795" s="32">
        <f t="shared" ref="D795" si="1096">(B795/B794)-1</f>
        <v>-6.1824234639031861E-3</v>
      </c>
      <c r="E795" s="99"/>
      <c r="F795"/>
      <c r="G795"/>
    </row>
    <row r="796" spans="1:7" x14ac:dyDescent="0.3">
      <c r="A796" s="29" t="s">
        <v>685</v>
      </c>
      <c r="B796" s="30">
        <v>30742155194.143234</v>
      </c>
      <c r="C796" s="30">
        <f t="shared" ref="C796" si="1097">B796-B795</f>
        <v>-337020054.74220657</v>
      </c>
      <c r="D796" s="32">
        <f t="shared" ref="D796" si="1098">(B796/B795)-1</f>
        <v>-1.0843918863461255E-2</v>
      </c>
      <c r="E796" s="99"/>
      <c r="F796"/>
      <c r="G796"/>
    </row>
    <row r="797" spans="1:7" x14ac:dyDescent="0.3">
      <c r="A797" s="29" t="s">
        <v>686</v>
      </c>
      <c r="B797" s="30">
        <v>30659954592.21814</v>
      </c>
      <c r="C797" s="30">
        <f t="shared" ref="C797" si="1099">B797-B796</f>
        <v>-82200601.925094604</v>
      </c>
      <c r="D797" s="32">
        <f t="shared" ref="D797" si="1100">(B797/B796)-1</f>
        <v>-2.6738724531829572E-3</v>
      </c>
      <c r="E797" s="99"/>
      <c r="F797"/>
      <c r="G797"/>
    </row>
    <row r="798" spans="1:7" x14ac:dyDescent="0.3">
      <c r="A798" s="29" t="s">
        <v>687</v>
      </c>
      <c r="B798" s="30">
        <v>30223706918.399136</v>
      </c>
      <c r="C798" s="30">
        <f t="shared" ref="C798" si="1101">B798-B797</f>
        <v>-436247673.81900406</v>
      </c>
      <c r="D798" s="32">
        <f t="shared" ref="D798" si="1102">(B798/B797)-1</f>
        <v>-1.4228581862601009E-2</v>
      </c>
      <c r="E798" s="99"/>
      <c r="F798"/>
      <c r="G798"/>
    </row>
    <row r="799" spans="1:7" x14ac:dyDescent="0.3">
      <c r="A799" s="29" t="s">
        <v>688</v>
      </c>
      <c r="B799" s="30">
        <v>29982898620.283497</v>
      </c>
      <c r="C799" s="30">
        <f t="shared" ref="C799" si="1103">B799-B798</f>
        <v>-240808298.11563873</v>
      </c>
      <c r="D799" s="32">
        <f t="shared" ref="D799" si="1104">(B799/B798)-1</f>
        <v>-7.9675302161246186E-3</v>
      </c>
      <c r="E799" s="99"/>
      <c r="F799"/>
      <c r="G799"/>
    </row>
    <row r="800" spans="1:7" x14ac:dyDescent="0.3">
      <c r="A800" s="29" t="s">
        <v>689</v>
      </c>
      <c r="B800" s="30">
        <v>30186598928.43774</v>
      </c>
      <c r="C800" s="30">
        <f t="shared" ref="C800" si="1105">B800-B799</f>
        <v>203700308.15424347</v>
      </c>
      <c r="D800" s="32">
        <f t="shared" ref="D800" si="1106">(B800/B799)-1</f>
        <v>6.7938830976281839E-3</v>
      </c>
      <c r="E800" s="99"/>
      <c r="F800"/>
      <c r="G800"/>
    </row>
    <row r="801" spans="1:7" x14ac:dyDescent="0.3">
      <c r="A801" s="29" t="s">
        <v>690</v>
      </c>
      <c r="B801" s="30">
        <v>30842693685.609501</v>
      </c>
      <c r="C801" s="30">
        <f t="shared" ref="C801" si="1107">B801-B800</f>
        <v>656094757.17176056</v>
      </c>
      <c r="D801" s="32">
        <f t="shared" ref="D801" si="1108">(B801/B800)-1</f>
        <v>2.1734636575890587E-2</v>
      </c>
      <c r="E801" s="37">
        <v>181000000</v>
      </c>
      <c r="F801" s="40" t="s">
        <v>182</v>
      </c>
      <c r="G801" s="29" t="s">
        <v>719</v>
      </c>
    </row>
    <row r="802" spans="1:7" x14ac:dyDescent="0.3">
      <c r="A802" s="29" t="s">
        <v>691</v>
      </c>
      <c r="B802" s="30">
        <v>30960390248.8111</v>
      </c>
      <c r="C802" s="30">
        <f t="shared" ref="C802" si="1109">B802-B801</f>
        <v>117696563.20159912</v>
      </c>
      <c r="D802" s="32">
        <f t="shared" ref="D802" si="1110">(B802/B801)-1</f>
        <v>3.8160273678207179E-3</v>
      </c>
      <c r="E802" s="99"/>
      <c r="F802"/>
      <c r="G802"/>
    </row>
    <row r="803" spans="1:7" x14ac:dyDescent="0.3">
      <c r="A803" s="29" t="s">
        <v>692</v>
      </c>
      <c r="B803" s="30">
        <v>30831553087.414501</v>
      </c>
      <c r="C803" s="30">
        <f t="shared" ref="C803" si="1111">B803-B802</f>
        <v>-128837161.39659882</v>
      </c>
      <c r="D803" s="32">
        <f t="shared" ref="D803" si="1112">(B803/B802)-1</f>
        <v>-4.1613545682469555E-3</v>
      </c>
      <c r="E803" s="99"/>
      <c r="F803"/>
      <c r="G803"/>
    </row>
    <row r="804" spans="1:7" x14ac:dyDescent="0.3">
      <c r="A804" s="29" t="s">
        <v>693</v>
      </c>
      <c r="B804" s="30">
        <v>30622444504.639172</v>
      </c>
      <c r="C804" s="30">
        <f t="shared" ref="C804" si="1113">B804-B803</f>
        <v>-209108582.77532959</v>
      </c>
      <c r="D804" s="32">
        <f t="shared" ref="D804" si="1114">(B804/B803)-1</f>
        <v>-6.7822915758560809E-3</v>
      </c>
      <c r="E804" s="99"/>
      <c r="F804"/>
      <c r="G804"/>
    </row>
    <row r="805" spans="1:7" x14ac:dyDescent="0.3">
      <c r="A805" s="29" t="s">
        <v>694</v>
      </c>
      <c r="B805" s="30">
        <v>30033243316.233498</v>
      </c>
      <c r="C805" s="30">
        <f t="shared" ref="C805" si="1115">B805-B804</f>
        <v>-589201188.40567398</v>
      </c>
      <c r="D805" s="32">
        <f t="shared" ref="D805" si="1116">(B805/B804)-1</f>
        <v>-1.9240828024569168E-2</v>
      </c>
      <c r="E805" s="37">
        <v>30000000</v>
      </c>
      <c r="F805" s="40" t="s">
        <v>182</v>
      </c>
      <c r="G805" s="29" t="s">
        <v>6</v>
      </c>
    </row>
    <row r="806" spans="1:7" x14ac:dyDescent="0.3">
      <c r="A806" s="29" t="s">
        <v>695</v>
      </c>
      <c r="B806" s="30">
        <v>29928127045.402958</v>
      </c>
      <c r="C806" s="30">
        <f t="shared" ref="C806" si="1117">B806-B805</f>
        <v>-105116270.8305397</v>
      </c>
      <c r="D806" s="32">
        <f t="shared" ref="D806" si="1118">(B806/B805)-1</f>
        <v>-3.499997310437708E-3</v>
      </c>
      <c r="E806" s="99"/>
      <c r="F806"/>
      <c r="G806"/>
    </row>
    <row r="807" spans="1:7" x14ac:dyDescent="0.3">
      <c r="A807" s="29" t="s">
        <v>696</v>
      </c>
      <c r="B807" s="30">
        <v>30368155506.781834</v>
      </c>
      <c r="C807" s="30">
        <f t="shared" ref="C807" si="1119">B807-B806</f>
        <v>440028461.37887573</v>
      </c>
      <c r="D807" s="32">
        <f t="shared" ref="D807" si="1120">(B807/B806)-1</f>
        <v>1.4702839930855749E-2</v>
      </c>
      <c r="E807" s="99"/>
      <c r="F807"/>
      <c r="G807"/>
    </row>
    <row r="808" spans="1:7" x14ac:dyDescent="0.3">
      <c r="A808" s="29" t="s">
        <v>697</v>
      </c>
      <c r="B808" s="30">
        <v>31498089490.851685</v>
      </c>
      <c r="C808" s="30">
        <f t="shared" ref="C808" si="1121">B808-B807</f>
        <v>1129933984.0698509</v>
      </c>
      <c r="D808" s="32">
        <f t="shared" ref="D808" si="1122">(B808/B807)-1</f>
        <v>3.7207856888690882E-2</v>
      </c>
      <c r="E808" s="99"/>
      <c r="F808"/>
      <c r="G808"/>
    </row>
    <row r="809" spans="1:7" x14ac:dyDescent="0.3">
      <c r="A809" s="29" t="s">
        <v>698</v>
      </c>
      <c r="B809" s="30">
        <v>32333140306.513378</v>
      </c>
      <c r="C809" s="30">
        <f t="shared" ref="C809" si="1123">B809-B808</f>
        <v>835050815.66169357</v>
      </c>
      <c r="D809" s="32">
        <f t="shared" ref="D809" si="1124">(B809/B808)-1</f>
        <v>2.6511157633996474E-2</v>
      </c>
      <c r="E809" s="99"/>
      <c r="F809"/>
      <c r="G809"/>
    </row>
    <row r="810" spans="1:7" x14ac:dyDescent="0.3">
      <c r="A810" s="29" t="s">
        <v>699</v>
      </c>
      <c r="B810" s="30">
        <v>31660550934.275211</v>
      </c>
      <c r="C810" s="30">
        <f t="shared" ref="C810" si="1125">B810-B809</f>
        <v>-672589372.23816681</v>
      </c>
      <c r="D810" s="32">
        <f t="shared" ref="D810" si="1126">(B810/B809)-1</f>
        <v>-2.0801857347047648E-2</v>
      </c>
      <c r="E810" s="99"/>
      <c r="F810"/>
      <c r="G810"/>
    </row>
    <row r="811" spans="1:7" x14ac:dyDescent="0.3">
      <c r="A811" s="29" t="s">
        <v>700</v>
      </c>
      <c r="B811" s="30">
        <v>32157502045.152313</v>
      </c>
      <c r="C811" s="30">
        <f t="shared" ref="C811" si="1127">B811-B810</f>
        <v>496951110.8771019</v>
      </c>
      <c r="D811" s="32">
        <f t="shared" ref="D811" si="1128">(B811/B810)-1</f>
        <v>1.5696224361626987E-2</v>
      </c>
      <c r="E811" s="99"/>
      <c r="F811"/>
      <c r="G811"/>
    </row>
    <row r="812" spans="1:7" x14ac:dyDescent="0.3">
      <c r="A812" s="29" t="s">
        <v>701</v>
      </c>
      <c r="B812" s="30">
        <v>32680348801.02631</v>
      </c>
      <c r="C812" s="30">
        <f t="shared" ref="C812" si="1129">B812-B811</f>
        <v>522846755.87399673</v>
      </c>
      <c r="D812" s="32">
        <f t="shared" ref="D812" si="1130">(B812/B811)-1</f>
        <v>1.6258935633118199E-2</v>
      </c>
      <c r="E812" s="99"/>
      <c r="F812"/>
      <c r="G812"/>
    </row>
    <row r="813" spans="1:7" x14ac:dyDescent="0.3">
      <c r="A813" s="29" t="s">
        <v>702</v>
      </c>
      <c r="B813" s="30">
        <v>33340353212.800388</v>
      </c>
      <c r="C813" s="30">
        <f t="shared" ref="C813" si="1131">B813-B812</f>
        <v>660004411.77407837</v>
      </c>
      <c r="D813" s="32">
        <f t="shared" ref="D813" si="1132">(B813/B812)-1</f>
        <v>2.0195757878610943E-2</v>
      </c>
      <c r="E813" s="99"/>
      <c r="F813"/>
      <c r="G813"/>
    </row>
    <row r="814" spans="1:7" x14ac:dyDescent="0.3">
      <c r="A814" s="29" t="s">
        <v>703</v>
      </c>
      <c r="B814" s="30">
        <v>32928528358.253063</v>
      </c>
      <c r="C814" s="30">
        <f t="shared" ref="C814" si="1133">B814-B813</f>
        <v>-411824854.54732513</v>
      </c>
      <c r="D814" s="32">
        <f t="shared" ref="D814" si="1134">(B814/B813)-1</f>
        <v>-1.2352144319491276E-2</v>
      </c>
      <c r="E814" s="37">
        <v>100000000</v>
      </c>
      <c r="F814" s="40" t="s">
        <v>182</v>
      </c>
      <c r="G814" s="29" t="s">
        <v>6</v>
      </c>
    </row>
    <row r="815" spans="1:7" x14ac:dyDescent="0.3">
      <c r="A815" s="29" t="s">
        <v>704</v>
      </c>
      <c r="B815" s="30">
        <v>33430001697.268784</v>
      </c>
      <c r="C815" s="30">
        <f t="shared" ref="C815" si="1135">B815-B814</f>
        <v>501473339.01572037</v>
      </c>
      <c r="D815" s="32">
        <f t="shared" ref="D815" si="1136">(B815/B814)-1</f>
        <v>1.5229145182555248E-2</v>
      </c>
      <c r="E815" s="99"/>
      <c r="F815"/>
      <c r="G815"/>
    </row>
    <row r="816" spans="1:7" x14ac:dyDescent="0.3">
      <c r="A816" s="29" t="s">
        <v>705</v>
      </c>
      <c r="B816" s="30">
        <v>34072994984.852741</v>
      </c>
      <c r="C816" s="30">
        <f t="shared" ref="C816" si="1137">B816-B815</f>
        <v>642993287.58395767</v>
      </c>
      <c r="D816" s="32">
        <f t="shared" ref="D816" si="1138">(B816/B815)-1</f>
        <v>1.9234018993079749E-2</v>
      </c>
      <c r="E816" s="99"/>
      <c r="F816"/>
      <c r="G816"/>
    </row>
    <row r="817" spans="1:7" x14ac:dyDescent="0.3">
      <c r="A817" s="29" t="s">
        <v>706</v>
      </c>
      <c r="B817" s="30">
        <v>33635372932.798717</v>
      </c>
      <c r="C817" s="30">
        <f t="shared" ref="C817" si="1139">B817-B816</f>
        <v>-437622052.05402374</v>
      </c>
      <c r="D817" s="32">
        <f t="shared" ref="D817" si="1140">(B817/B816)-1</f>
        <v>-1.2843662620458551E-2</v>
      </c>
      <c r="E817" s="99"/>
      <c r="F817"/>
      <c r="G817"/>
    </row>
    <row r="818" spans="1:7" x14ac:dyDescent="0.3">
      <c r="A818" s="29" t="s">
        <v>707</v>
      </c>
      <c r="B818" s="30">
        <v>33364191912.058815</v>
      </c>
      <c r="C818" s="30">
        <f t="shared" ref="C818" si="1141">B818-B817</f>
        <v>-271181020.7399025</v>
      </c>
      <c r="D818" s="32">
        <f t="shared" ref="D818" si="1142">(B818/B817)-1</f>
        <v>-8.0623759184030863E-3</v>
      </c>
      <c r="E818" s="99"/>
      <c r="F818"/>
      <c r="G818"/>
    </row>
    <row r="819" spans="1:7" x14ac:dyDescent="0.3">
      <c r="A819" s="29" t="s">
        <v>708</v>
      </c>
      <c r="B819" s="30">
        <v>33524528357.054031</v>
      </c>
      <c r="C819" s="30">
        <f t="shared" ref="C819" si="1143">B819-B818</f>
        <v>160336444.99521637</v>
      </c>
      <c r="D819" s="32">
        <f t="shared" ref="D819" si="1144">(B819/B818)-1</f>
        <v>4.8056444890927086E-3</v>
      </c>
      <c r="E819" s="99"/>
      <c r="F819"/>
      <c r="G819"/>
    </row>
    <row r="820" spans="1:7" x14ac:dyDescent="0.3">
      <c r="A820" s="29" t="s">
        <v>709</v>
      </c>
      <c r="B820" s="30">
        <v>34674815542.307899</v>
      </c>
      <c r="C820" s="30">
        <f t="shared" ref="C820" si="1145">B820-B819</f>
        <v>1150287185.2538681</v>
      </c>
      <c r="D820" s="32">
        <f t="shared" ref="D820" si="1146">(B820/B819)-1</f>
        <v>3.4311808148430822E-2</v>
      </c>
      <c r="E820" s="37">
        <v>487000000</v>
      </c>
      <c r="F820" s="40" t="s">
        <v>182</v>
      </c>
      <c r="G820" s="29" t="s">
        <v>716</v>
      </c>
    </row>
    <row r="821" spans="1:7" x14ac:dyDescent="0.3">
      <c r="A821" s="29" t="s">
        <v>710</v>
      </c>
      <c r="B821" s="30">
        <v>35836454339.548042</v>
      </c>
      <c r="C821" s="30">
        <f t="shared" ref="C821" si="1147">B821-B820</f>
        <v>1161638797.2401428</v>
      </c>
      <c r="D821" s="32">
        <f t="shared" ref="D821" si="1148">(B821/B820)-1</f>
        <v>3.3500936604054621E-2</v>
      </c>
      <c r="E821" s="99"/>
      <c r="F821"/>
      <c r="G821"/>
    </row>
    <row r="822" spans="1:7" x14ac:dyDescent="0.3">
      <c r="A822" s="29" t="s">
        <v>720</v>
      </c>
      <c r="B822" s="30">
        <v>36115149544.597939</v>
      </c>
      <c r="C822" s="30">
        <f t="shared" ref="C822" si="1149">B822-B821</f>
        <v>278695205.04989624</v>
      </c>
      <c r="D822" s="32">
        <f t="shared" ref="D822" si="1150">(B822/B821)-1</f>
        <v>7.7768632579908736E-3</v>
      </c>
      <c r="E822" s="99"/>
      <c r="F822"/>
      <c r="G822"/>
    </row>
    <row r="823" spans="1:7" x14ac:dyDescent="0.3">
      <c r="A823" s="29" t="s">
        <v>721</v>
      </c>
      <c r="B823" s="30">
        <v>35694997449.052101</v>
      </c>
      <c r="C823" s="30">
        <f t="shared" ref="C823" si="1151">B823-B822</f>
        <v>-420152095.5458374</v>
      </c>
      <c r="D823" s="32">
        <f t="shared" ref="D823" si="1152">(B823/B822)-1</f>
        <v>-1.1633680071766017E-2</v>
      </c>
      <c r="E823" s="99"/>
      <c r="F823"/>
      <c r="G823"/>
    </row>
    <row r="824" spans="1:7" x14ac:dyDescent="0.3">
      <c r="A824" s="29" t="s">
        <v>722</v>
      </c>
      <c r="B824" s="30">
        <v>35926974993.127831</v>
      </c>
      <c r="C824" s="30">
        <f t="shared" ref="C824" si="1153">B824-B823</f>
        <v>231977544.07572937</v>
      </c>
      <c r="D824" s="32">
        <f t="shared" ref="D824" si="1154">(B824/B823)-1</f>
        <v>6.4988810941037922E-3</v>
      </c>
      <c r="E824" s="99"/>
      <c r="F824"/>
      <c r="G824"/>
    </row>
    <row r="825" spans="1:7" x14ac:dyDescent="0.3">
      <c r="A825" s="29" t="s">
        <v>723</v>
      </c>
      <c r="B825" s="30">
        <v>35556031116.730904</v>
      </c>
      <c r="C825" s="30">
        <f t="shared" ref="C825" si="1155">B825-B824</f>
        <v>-370943876.39692688</v>
      </c>
      <c r="D825" s="32">
        <f t="shared" ref="D825" si="1156">(B825/B824)-1</f>
        <v>-1.0324940423397266E-2</v>
      </c>
      <c r="E825" s="99"/>
      <c r="F825"/>
      <c r="G825"/>
    </row>
    <row r="826" spans="1:7" x14ac:dyDescent="0.3">
      <c r="A826" s="29" t="s">
        <v>724</v>
      </c>
      <c r="B826" s="30">
        <v>34515346829.752602</v>
      </c>
      <c r="C826" s="30">
        <f t="shared" ref="C826:C831" si="1157">B826-B825</f>
        <v>-1040684286.978302</v>
      </c>
      <c r="D826" s="32">
        <f t="shared" ref="D826:D831" si="1158">(B826/B825)-1</f>
        <v>-2.9268854095715113E-2</v>
      </c>
      <c r="E826" s="99"/>
      <c r="F826"/>
      <c r="G826"/>
    </row>
    <row r="827" spans="1:7" x14ac:dyDescent="0.3">
      <c r="A827" s="29" t="s">
        <v>725</v>
      </c>
      <c r="B827" s="30">
        <v>34219607885.458286</v>
      </c>
      <c r="C827" s="30">
        <f t="shared" si="1157"/>
        <v>-295738944.29431534</v>
      </c>
      <c r="D827" s="32">
        <f t="shared" si="1158"/>
        <v>-8.5683318134698316E-3</v>
      </c>
      <c r="E827" s="37">
        <v>257740186</v>
      </c>
      <c r="F827" s="46" t="s">
        <v>203</v>
      </c>
      <c r="G827" s="29" t="s">
        <v>775</v>
      </c>
    </row>
    <row r="828" spans="1:7" x14ac:dyDescent="0.3">
      <c r="A828" s="29" t="s">
        <v>726</v>
      </c>
      <c r="B828" s="30">
        <v>33204875073.351772</v>
      </c>
      <c r="C828" s="30">
        <f t="shared" si="1157"/>
        <v>-1014732812.106514</v>
      </c>
      <c r="D828" s="32">
        <f t="shared" si="1158"/>
        <v>-2.9653548792934248E-2</v>
      </c>
      <c r="E828" s="99"/>
      <c r="F828"/>
      <c r="G828"/>
    </row>
    <row r="829" spans="1:7" x14ac:dyDescent="0.3">
      <c r="A829" s="29" t="s">
        <v>727</v>
      </c>
      <c r="B829" s="30">
        <v>31080420343.212601</v>
      </c>
      <c r="C829" s="30">
        <f t="shared" si="1157"/>
        <v>-2124454730.1391716</v>
      </c>
      <c r="D829" s="32">
        <f t="shared" si="1158"/>
        <v>-6.398020548025285E-2</v>
      </c>
      <c r="E829" s="37">
        <v>1816106114</v>
      </c>
      <c r="F829" s="46" t="s">
        <v>203</v>
      </c>
      <c r="G829" s="29" t="s">
        <v>775</v>
      </c>
    </row>
    <row r="830" spans="1:7" x14ac:dyDescent="0.3">
      <c r="A830" s="29" t="s">
        <v>728</v>
      </c>
      <c r="B830" s="30">
        <v>31962973190.454288</v>
      </c>
      <c r="C830" s="30">
        <f t="shared" si="1157"/>
        <v>882552847.24168777</v>
      </c>
      <c r="D830" s="32">
        <f t="shared" si="1158"/>
        <v>2.8395782215809851E-2</v>
      </c>
      <c r="E830" s="99"/>
      <c r="F830"/>
      <c r="G830"/>
    </row>
    <row r="831" spans="1:7" x14ac:dyDescent="0.3">
      <c r="A831" s="29" t="s">
        <v>729</v>
      </c>
      <c r="B831" s="30">
        <v>31835283997.888893</v>
      </c>
      <c r="C831" s="30">
        <f t="shared" si="1157"/>
        <v>-127689192.56539536</v>
      </c>
      <c r="D831" s="32">
        <f t="shared" si="1158"/>
        <v>-3.9949097289713187E-3</v>
      </c>
      <c r="E831" s="99"/>
      <c r="F831"/>
      <c r="G831"/>
    </row>
    <row r="832" spans="1:7" x14ac:dyDescent="0.3">
      <c r="A832" s="29" t="s">
        <v>730</v>
      </c>
      <c r="B832" s="30">
        <v>27421114234.988312</v>
      </c>
      <c r="C832" s="30">
        <f t="shared" ref="C832" si="1159">B832-B831</f>
        <v>-4414169762.9005814</v>
      </c>
      <c r="D832" s="32">
        <f t="shared" ref="D832" si="1160">(B832/B831)-1</f>
        <v>-0.13865652221583136</v>
      </c>
      <c r="E832" s="37">
        <v>3600000000</v>
      </c>
      <c r="F832" s="46" t="s">
        <v>203</v>
      </c>
      <c r="G832" s="29" t="s">
        <v>776</v>
      </c>
    </row>
    <row r="833" spans="1:7" x14ac:dyDescent="0.3">
      <c r="A833" s="29" t="s">
        <v>731</v>
      </c>
      <c r="B833" s="30">
        <v>27235157671.541836</v>
      </c>
      <c r="C833" s="30">
        <f t="shared" ref="C833" si="1161">B833-B832</f>
        <v>-185956563.44647598</v>
      </c>
      <c r="D833" s="32">
        <f t="shared" ref="D833" si="1162">(B833/B832)-1</f>
        <v>-6.7815101112559395E-3</v>
      </c>
      <c r="E833" s="99"/>
      <c r="F833"/>
      <c r="G833"/>
    </row>
    <row r="834" spans="1:7" x14ac:dyDescent="0.3">
      <c r="A834" s="29" t="s">
        <v>732</v>
      </c>
      <c r="B834" s="30">
        <v>22405277885.726257</v>
      </c>
      <c r="C834" s="30">
        <f t="shared" ref="C834" si="1163">B834-B833</f>
        <v>-4829879785.8155785</v>
      </c>
      <c r="D834" s="32">
        <f t="shared" ref="D834" si="1164">(B834/B833)-1</f>
        <v>-0.17733988707039305</v>
      </c>
      <c r="E834" s="37">
        <v>4920500000</v>
      </c>
      <c r="F834" s="46" t="s">
        <v>203</v>
      </c>
      <c r="G834" s="29" t="s">
        <v>775</v>
      </c>
    </row>
    <row r="835" spans="1:7" x14ac:dyDescent="0.3">
      <c r="A835" s="29" t="s">
        <v>733</v>
      </c>
      <c r="B835" s="30">
        <v>22323422787.136734</v>
      </c>
      <c r="C835" s="30">
        <f t="shared" ref="C835" si="1165">B835-B834</f>
        <v>-81855098.589523315</v>
      </c>
      <c r="D835" s="32">
        <f t="shared" ref="D835" si="1166">(B835/B834)-1</f>
        <v>-3.6533846626232158E-3</v>
      </c>
      <c r="E835" s="99"/>
      <c r="F835"/>
      <c r="G835"/>
    </row>
    <row r="836" spans="1:7" x14ac:dyDescent="0.3">
      <c r="A836" s="29" t="s">
        <v>734</v>
      </c>
      <c r="B836" s="30">
        <v>22443699392.571804</v>
      </c>
      <c r="C836" s="30">
        <f t="shared" ref="C836:C838" si="1167">B836-B835</f>
        <v>120276605.43507004</v>
      </c>
      <c r="D836" s="32">
        <f t="shared" ref="D836:D838" si="1168">(B836/B835)-1</f>
        <v>5.3879105629077717E-3</v>
      </c>
      <c r="E836" s="99"/>
      <c r="F836"/>
      <c r="G836"/>
    </row>
    <row r="837" spans="1:7" x14ac:dyDescent="0.3">
      <c r="A837" s="29" t="s">
        <v>735</v>
      </c>
      <c r="B837" s="30">
        <v>23284271756.320824</v>
      </c>
      <c r="C837" s="30">
        <f t="shared" si="1167"/>
        <v>840572363.74901962</v>
      </c>
      <c r="D837" s="32">
        <f t="shared" si="1168"/>
        <v>3.7452487178972982E-2</v>
      </c>
      <c r="E837" s="99"/>
      <c r="F837"/>
      <c r="G837"/>
    </row>
    <row r="838" spans="1:7" x14ac:dyDescent="0.3">
      <c r="A838" s="29" t="s">
        <v>736</v>
      </c>
      <c r="B838" s="30">
        <v>23614201254.661449</v>
      </c>
      <c r="C838" s="30">
        <f t="shared" si="1167"/>
        <v>329929498.34062576</v>
      </c>
      <c r="D838" s="32">
        <f t="shared" si="1168"/>
        <v>1.4169629258474092E-2</v>
      </c>
      <c r="E838" s="37">
        <v>187200000</v>
      </c>
      <c r="F838" s="40" t="s">
        <v>182</v>
      </c>
      <c r="G838" s="29" t="s">
        <v>6</v>
      </c>
    </row>
    <row r="839" spans="1:7" x14ac:dyDescent="0.3">
      <c r="A839" s="29" t="s">
        <v>737</v>
      </c>
      <c r="B839" s="30">
        <v>23735252570.104176</v>
      </c>
      <c r="C839" s="30">
        <f t="shared" ref="C839" si="1169">B839-B838</f>
        <v>121051315.44272614</v>
      </c>
      <c r="D839" s="32">
        <f t="shared" ref="D839" si="1170">(B839/B838)-1</f>
        <v>5.1262083412129122E-3</v>
      </c>
      <c r="E839" s="99"/>
      <c r="F839"/>
      <c r="G839"/>
    </row>
    <row r="840" spans="1:7" x14ac:dyDescent="0.3">
      <c r="A840" s="29" t="s">
        <v>738</v>
      </c>
      <c r="B840" s="30">
        <v>24231160569.989643</v>
      </c>
      <c r="C840" s="30">
        <f t="shared" ref="C840" si="1171">B840-B839</f>
        <v>495907999.88546753</v>
      </c>
      <c r="D840" s="32">
        <f t="shared" ref="D840" si="1172">(B840/B839)-1</f>
        <v>2.0893310421734812E-2</v>
      </c>
      <c r="E840" s="99"/>
      <c r="F840"/>
      <c r="G840"/>
    </row>
    <row r="841" spans="1:7" x14ac:dyDescent="0.3">
      <c r="A841" s="29" t="s">
        <v>739</v>
      </c>
      <c r="B841" s="30">
        <v>24339067605.109142</v>
      </c>
      <c r="C841" s="30">
        <f t="shared" ref="C841" si="1173">B841-B840</f>
        <v>107907035.11949921</v>
      </c>
      <c r="D841" s="32">
        <f t="shared" ref="D841" si="1174">(B841/B840)-1</f>
        <v>4.4532342892871224E-3</v>
      </c>
      <c r="E841" s="99"/>
      <c r="F841"/>
      <c r="G841"/>
    </row>
    <row r="842" spans="1:7" x14ac:dyDescent="0.3">
      <c r="A842" s="29" t="s">
        <v>740</v>
      </c>
      <c r="B842" s="30">
        <v>24132879146.446098</v>
      </c>
      <c r="C842" s="30">
        <f t="shared" ref="C842" si="1175">B842-B841</f>
        <v>-206188458.66304398</v>
      </c>
      <c r="D842" s="32">
        <f t="shared" ref="D842" si="1176">(B842/B841)-1</f>
        <v>-8.4715019493910582E-3</v>
      </c>
      <c r="E842" s="99"/>
      <c r="F842"/>
      <c r="G842"/>
    </row>
    <row r="843" spans="1:7" x14ac:dyDescent="0.3">
      <c r="A843" s="29" t="s">
        <v>741</v>
      </c>
      <c r="B843" s="30">
        <v>23512284845.238716</v>
      </c>
      <c r="C843" s="30">
        <f t="shared" ref="C843" si="1177">B843-B842</f>
        <v>-620594301.2073822</v>
      </c>
      <c r="D843" s="32">
        <f t="shared" ref="D843" si="1178">(B843/B842)-1</f>
        <v>-2.5715717442639785E-2</v>
      </c>
      <c r="E843" s="99"/>
      <c r="F843"/>
      <c r="G843"/>
    </row>
    <row r="844" spans="1:7" x14ac:dyDescent="0.3">
      <c r="A844" s="29" t="s">
        <v>742</v>
      </c>
      <c r="B844" s="30">
        <v>23388039838.802082</v>
      </c>
      <c r="C844" s="30">
        <f t="shared" ref="C844" si="1179">B844-B843</f>
        <v>-124245006.43663406</v>
      </c>
      <c r="D844" s="32">
        <f t="shared" ref="D844" si="1180">(B844/B843)-1</f>
        <v>-5.284259154498705E-3</v>
      </c>
      <c r="E844" s="99"/>
      <c r="F844"/>
      <c r="G844"/>
    </row>
    <row r="845" spans="1:7" x14ac:dyDescent="0.3">
      <c r="A845" s="29" t="s">
        <v>743</v>
      </c>
      <c r="B845" s="30">
        <v>23126444318.725437</v>
      </c>
      <c r="C845" s="30">
        <f t="shared" ref="C845" si="1181">B845-B844</f>
        <v>-261595520.0766449</v>
      </c>
      <c r="D845" s="32">
        <f t="shared" ref="D845" si="1182">(B845/B844)-1</f>
        <v>-1.1185012591035659E-2</v>
      </c>
      <c r="E845" s="99"/>
      <c r="F845"/>
      <c r="G845"/>
    </row>
    <row r="846" spans="1:7" x14ac:dyDescent="0.3">
      <c r="A846" s="29" t="s">
        <v>744</v>
      </c>
      <c r="B846" s="30">
        <v>23454092185.519825</v>
      </c>
      <c r="C846" s="30">
        <f t="shared" ref="C846" si="1183">B846-B845</f>
        <v>327647866.79438782</v>
      </c>
      <c r="D846" s="32">
        <f t="shared" ref="D846" si="1184">(B846/B845)-1</f>
        <v>1.4167671531290837E-2</v>
      </c>
      <c r="E846" s="99"/>
      <c r="F846"/>
      <c r="G846"/>
    </row>
    <row r="847" spans="1:7" x14ac:dyDescent="0.3">
      <c r="A847" s="29" t="s">
        <v>745</v>
      </c>
      <c r="B847" s="30">
        <v>23308876540.95676</v>
      </c>
      <c r="C847" s="30">
        <f t="shared" ref="C847" si="1185">B847-B846</f>
        <v>-145215644.56306458</v>
      </c>
      <c r="D847" s="32">
        <f t="shared" ref="D847" si="1186">(B847/B846)-1</f>
        <v>-6.1914843437307354E-3</v>
      </c>
    </row>
    <row r="848" spans="1:7" x14ac:dyDescent="0.3">
      <c r="A848" s="29" t="s">
        <v>746</v>
      </c>
      <c r="B848" s="30">
        <v>22807649464.792412</v>
      </c>
      <c r="C848" s="30">
        <f t="shared" ref="C848" si="1187">B848-B847</f>
        <v>-501227076.1643486</v>
      </c>
      <c r="D848" s="32">
        <f t="shared" ref="D848" si="1188">(B848/B847)-1</f>
        <v>-2.1503699471899784E-2</v>
      </c>
    </row>
    <row r="849" spans="1:7" x14ac:dyDescent="0.3">
      <c r="A849" s="29" t="s">
        <v>747</v>
      </c>
      <c r="B849" s="30">
        <v>22295454495.631992</v>
      </c>
      <c r="C849" s="30">
        <f t="shared" ref="C849" si="1189">B849-B848</f>
        <v>-512194969.16041946</v>
      </c>
      <c r="D849" s="32">
        <f t="shared" ref="D849" si="1190">(B849/B848)-1</f>
        <v>-2.2457157189787691E-2</v>
      </c>
    </row>
    <row r="850" spans="1:7" x14ac:dyDescent="0.3">
      <c r="A850" s="29" t="s">
        <v>748</v>
      </c>
      <c r="B850" s="30">
        <v>22045873423.96629</v>
      </c>
      <c r="C850" s="30">
        <f t="shared" ref="C850" si="1191">B850-B849</f>
        <v>-249581071.66570282</v>
      </c>
      <c r="D850" s="32">
        <f t="shared" ref="D850" si="1192">(B850/B849)-1</f>
        <v>-1.1194258081377084E-2</v>
      </c>
    </row>
    <row r="851" spans="1:7" x14ac:dyDescent="0.3">
      <c r="A851" s="29" t="s">
        <v>749</v>
      </c>
      <c r="B851" s="30">
        <v>22103247278.863499</v>
      </c>
      <c r="C851" s="30">
        <f t="shared" ref="C851" si="1193">B851-B850</f>
        <v>57373854.897209167</v>
      </c>
      <c r="D851" s="32">
        <f t="shared" ref="D851" si="1194">(B851/B850)-1</f>
        <v>2.6024759279819065E-3</v>
      </c>
    </row>
    <row r="852" spans="1:7" x14ac:dyDescent="0.3">
      <c r="A852" s="29" t="s">
        <v>750</v>
      </c>
      <c r="B852" s="30">
        <v>21776634170.426872</v>
      </c>
      <c r="C852" s="30">
        <f t="shared" ref="C852:C855" si="1195">B852-B851</f>
        <v>-326613108.43662643</v>
      </c>
      <c r="D852" s="32">
        <f t="shared" ref="D852:D855" si="1196">(B852/B851)-1</f>
        <v>-1.4776702459866842E-2</v>
      </c>
    </row>
    <row r="853" spans="1:7" x14ac:dyDescent="0.3">
      <c r="A853" s="29" t="s">
        <v>751</v>
      </c>
      <c r="B853" s="30">
        <v>21418031457.196918</v>
      </c>
      <c r="C853" s="30">
        <f t="shared" si="1195"/>
        <v>-358602713.22995377</v>
      </c>
      <c r="D853" s="32">
        <f t="shared" si="1196"/>
        <v>-1.6467315858983533E-2</v>
      </c>
    </row>
    <row r="854" spans="1:7" x14ac:dyDescent="0.3">
      <c r="A854" s="29" t="s">
        <v>752</v>
      </c>
      <c r="B854" s="30">
        <v>21299226584.431847</v>
      </c>
      <c r="C854" s="30">
        <f t="shared" si="1195"/>
        <v>-118804872.76507187</v>
      </c>
      <c r="D854" s="32">
        <f t="shared" si="1196"/>
        <v>-5.5469557509287837E-3</v>
      </c>
    </row>
    <row r="855" spans="1:7" x14ac:dyDescent="0.3">
      <c r="A855" s="29" t="s">
        <v>753</v>
      </c>
      <c r="B855" s="30">
        <v>21158867305.589897</v>
      </c>
      <c r="C855" s="30">
        <f t="shared" si="1195"/>
        <v>-140359278.84194946</v>
      </c>
      <c r="D855" s="32">
        <f t="shared" si="1196"/>
        <v>-6.5898767866313657E-3</v>
      </c>
    </row>
    <row r="856" spans="1:7" x14ac:dyDescent="0.3">
      <c r="A856" s="29" t="s">
        <v>754</v>
      </c>
      <c r="B856" s="30">
        <v>21317452910.09742</v>
      </c>
      <c r="C856" s="30">
        <f t="shared" ref="C856:C866" si="1197">B856-B855</f>
        <v>158585604.50752258</v>
      </c>
      <c r="D856" s="32">
        <f t="shared" ref="D856:D866" si="1198">(B856/B855)-1</f>
        <v>7.4949949927436421E-3</v>
      </c>
    </row>
    <row r="857" spans="1:7" x14ac:dyDescent="0.3">
      <c r="A857" s="29" t="s">
        <v>755</v>
      </c>
      <c r="B857" s="30">
        <v>20368296790.112846</v>
      </c>
      <c r="C857" s="30">
        <f t="shared" si="1197"/>
        <v>-949156119.98457336</v>
      </c>
      <c r="D857" s="32">
        <f t="shared" si="1198"/>
        <v>-4.4524837183291588E-2</v>
      </c>
    </row>
    <row r="858" spans="1:7" x14ac:dyDescent="0.3">
      <c r="A858" s="29" t="s">
        <v>756</v>
      </c>
      <c r="B858" s="30">
        <v>20352525842.745136</v>
      </c>
      <c r="C858" s="30">
        <f t="shared" si="1197"/>
        <v>-15770947.367710114</v>
      </c>
      <c r="D858" s="32">
        <f t="shared" si="1198"/>
        <v>-7.742889614298365E-4</v>
      </c>
    </row>
    <row r="859" spans="1:7" x14ac:dyDescent="0.3">
      <c r="A859" s="29" t="s">
        <v>757</v>
      </c>
      <c r="B859" s="30">
        <v>20148084661.028992</v>
      </c>
      <c r="C859" s="30">
        <f t="shared" si="1197"/>
        <v>-204441181.71614456</v>
      </c>
      <c r="D859" s="32">
        <f t="shared" si="1198"/>
        <v>-1.0045002929649605E-2</v>
      </c>
    </row>
    <row r="860" spans="1:7" x14ac:dyDescent="0.3">
      <c r="A860" s="29" t="s">
        <v>758</v>
      </c>
      <c r="B860" s="30">
        <v>19935469386.217144</v>
      </c>
      <c r="C860" s="30">
        <f t="shared" si="1197"/>
        <v>-212615274.81184769</v>
      </c>
      <c r="D860" s="32">
        <f t="shared" si="1198"/>
        <v>-1.0552629611642161E-2</v>
      </c>
    </row>
    <row r="861" spans="1:7" x14ac:dyDescent="0.3">
      <c r="A861" s="29" t="s">
        <v>759</v>
      </c>
      <c r="B861" s="30">
        <v>19656517216.264984</v>
      </c>
      <c r="C861" s="30">
        <f t="shared" si="1197"/>
        <v>-278952169.95215988</v>
      </c>
      <c r="D861" s="32">
        <f t="shared" si="1198"/>
        <v>-1.3992756556061803E-2</v>
      </c>
    </row>
    <row r="862" spans="1:7" x14ac:dyDescent="0.3">
      <c r="A862" s="29" t="s">
        <v>760</v>
      </c>
      <c r="B862" s="30">
        <v>19980492624.232273</v>
      </c>
      <c r="C862" s="30">
        <f t="shared" si="1197"/>
        <v>323975407.96728897</v>
      </c>
      <c r="D862" s="32">
        <f t="shared" si="1198"/>
        <v>1.6481831669509228E-2</v>
      </c>
    </row>
    <row r="863" spans="1:7" x14ac:dyDescent="0.3">
      <c r="A863" s="29" t="s">
        <v>761</v>
      </c>
      <c r="B863" s="30">
        <v>20213994339.865746</v>
      </c>
      <c r="C863" s="30">
        <f t="shared" si="1197"/>
        <v>233501715.63347244</v>
      </c>
      <c r="D863" s="32">
        <f t="shared" si="1198"/>
        <v>1.1686484413816922E-2</v>
      </c>
      <c r="E863" s="99"/>
      <c r="F863"/>
      <c r="G863"/>
    </row>
    <row r="864" spans="1:7" x14ac:dyDescent="0.3">
      <c r="A864" s="29" t="s">
        <v>762</v>
      </c>
      <c r="B864" s="30">
        <v>20041549669.980011</v>
      </c>
      <c r="C864" s="30">
        <f t="shared" si="1197"/>
        <v>-172444669.88573456</v>
      </c>
      <c r="D864" s="32">
        <f t="shared" si="1198"/>
        <v>-8.5309546933849401E-3</v>
      </c>
      <c r="E864" s="99"/>
      <c r="F864"/>
      <c r="G864"/>
    </row>
    <row r="865" spans="1:7" x14ac:dyDescent="0.3">
      <c r="A865" s="29" t="s">
        <v>763</v>
      </c>
      <c r="B865" s="30">
        <v>19779648871.017056</v>
      </c>
      <c r="C865" s="30">
        <f t="shared" si="1197"/>
        <v>-261900798.96295547</v>
      </c>
      <c r="D865" s="32">
        <f t="shared" si="1198"/>
        <v>-1.3067891618942729E-2</v>
      </c>
      <c r="E865" s="99"/>
      <c r="F865"/>
      <c r="G865"/>
    </row>
    <row r="866" spans="1:7" x14ac:dyDescent="0.3">
      <c r="A866" s="29" t="s">
        <v>764</v>
      </c>
      <c r="B866" s="30">
        <v>19521247308.874458</v>
      </c>
      <c r="C866" s="30">
        <f t="shared" si="1197"/>
        <v>-258401562.1425972</v>
      </c>
      <c r="D866" s="32">
        <f t="shared" si="1198"/>
        <v>-1.3064011592300306E-2</v>
      </c>
      <c r="E866" s="99"/>
      <c r="F866"/>
      <c r="G866"/>
    </row>
    <row r="867" spans="1:7" x14ac:dyDescent="0.3">
      <c r="A867" s="29" t="s">
        <v>765</v>
      </c>
      <c r="B867" s="30">
        <v>19266844750.254086</v>
      </c>
      <c r="C867" s="30">
        <f t="shared" ref="C867:C868" si="1199">B867-B866</f>
        <v>-254402558.62037277</v>
      </c>
      <c r="D867" s="32">
        <f t="shared" ref="D867:D868" si="1200">(B867/B866)-1</f>
        <v>-1.3032085224632173E-2</v>
      </c>
      <c r="E867" s="99"/>
      <c r="F867"/>
      <c r="G867"/>
    </row>
    <row r="868" spans="1:7" x14ac:dyDescent="0.3">
      <c r="A868" s="29" t="s">
        <v>766</v>
      </c>
      <c r="B868" s="30">
        <v>19045999732.267818</v>
      </c>
      <c r="C868" s="30">
        <f t="shared" si="1199"/>
        <v>-220845017.98626709</v>
      </c>
      <c r="D868" s="32">
        <f t="shared" si="1200"/>
        <v>-1.1462438237758388E-2</v>
      </c>
      <c r="E868" s="99"/>
      <c r="F868"/>
      <c r="G868"/>
    </row>
    <row r="869" spans="1:7" x14ac:dyDescent="0.3">
      <c r="A869" s="29" t="s">
        <v>767</v>
      </c>
      <c r="B869" s="30">
        <v>20501438190.858471</v>
      </c>
      <c r="C869" s="30">
        <f t="shared" ref="C869" si="1201">B869-B868</f>
        <v>1455438458.5906525</v>
      </c>
      <c r="D869" s="32">
        <f t="shared" ref="D869" si="1202">(B869/B868)-1</f>
        <v>7.6417015596447868E-2</v>
      </c>
      <c r="E869" s="37">
        <v>1180000000</v>
      </c>
      <c r="F869" s="40" t="s">
        <v>182</v>
      </c>
      <c r="G869" s="29" t="s">
        <v>586</v>
      </c>
    </row>
    <row r="870" spans="1:7" x14ac:dyDescent="0.3">
      <c r="A870" s="29" t="s">
        <v>768</v>
      </c>
      <c r="B870" s="30">
        <v>20458664299.798023</v>
      </c>
      <c r="C870" s="30">
        <f t="shared" ref="C870" si="1203">B870-B869</f>
        <v>-42773891.060447693</v>
      </c>
      <c r="D870" s="32">
        <f t="shared" ref="D870" si="1204">(B870/B869)-1</f>
        <v>-2.0863848995491541E-3</v>
      </c>
      <c r="E870" s="99"/>
      <c r="F870"/>
      <c r="G870"/>
    </row>
    <row r="871" spans="1:7" x14ac:dyDescent="0.3">
      <c r="A871" s="29" t="s">
        <v>769</v>
      </c>
      <c r="B871" s="30">
        <v>20296287410.204052</v>
      </c>
      <c r="C871" s="30">
        <f t="shared" ref="C871" si="1205">B871-B870</f>
        <v>-162376889.59397125</v>
      </c>
      <c r="D871" s="32">
        <f t="shared" ref="D871" si="1206">(B871/B870)-1</f>
        <v>-7.9368275081171946E-3</v>
      </c>
      <c r="E871" s="99"/>
      <c r="F871"/>
      <c r="G871"/>
    </row>
    <row r="872" spans="1:7" x14ac:dyDescent="0.3">
      <c r="A872" s="29" t="s">
        <v>770</v>
      </c>
      <c r="B872" s="30">
        <v>20090968004.012577</v>
      </c>
      <c r="C872" s="30">
        <f t="shared" ref="C872" si="1207">B872-B871</f>
        <v>-205319406.19147491</v>
      </c>
      <c r="D872" s="32">
        <f t="shared" ref="D872" si="1208">(B872/B871)-1</f>
        <v>-1.0116106558889615E-2</v>
      </c>
      <c r="E872" s="99"/>
      <c r="F872"/>
      <c r="G872"/>
    </row>
    <row r="873" spans="1:7" x14ac:dyDescent="0.3">
      <c r="A873" s="29" t="s">
        <v>771</v>
      </c>
      <c r="B873" s="30">
        <v>19806368806.843704</v>
      </c>
      <c r="C873" s="30">
        <f t="shared" ref="C873" si="1209">B873-B872</f>
        <v>-284599197.16887283</v>
      </c>
      <c r="D873" s="32">
        <f t="shared" ref="D873" si="1210">(B873/B872)-1</f>
        <v>-1.4165529361852225E-2</v>
      </c>
      <c r="E873" s="99"/>
      <c r="F873"/>
      <c r="G873"/>
    </row>
    <row r="874" spans="1:7" x14ac:dyDescent="0.3">
      <c r="A874" s="29" t="s">
        <v>772</v>
      </c>
      <c r="B874" s="30">
        <v>19714489669.023384</v>
      </c>
      <c r="C874" s="30">
        <f t="shared" ref="C874" si="1211">B874-B873</f>
        <v>-91879137.820320129</v>
      </c>
      <c r="D874" s="32">
        <f t="shared" ref="D874" si="1212">(B874/B873)-1</f>
        <v>-4.6388683719033041E-3</v>
      </c>
      <c r="E874" s="99"/>
      <c r="F874"/>
      <c r="G874"/>
    </row>
    <row r="875" spans="1:7" x14ac:dyDescent="0.3">
      <c r="A875" s="29" t="s">
        <v>773</v>
      </c>
      <c r="B875" s="30">
        <v>19536281863.779182</v>
      </c>
      <c r="C875" s="30">
        <f t="shared" ref="C875" si="1213">B875-B874</f>
        <v>-178207805.24420166</v>
      </c>
      <c r="D875" s="32">
        <f t="shared" ref="D875" si="1214">(B875/B874)-1</f>
        <v>-9.0394328352416675E-3</v>
      </c>
      <c r="E875" s="37">
        <v>100000000</v>
      </c>
      <c r="F875" s="46" t="s">
        <v>203</v>
      </c>
      <c r="G875" s="29" t="s">
        <v>268</v>
      </c>
    </row>
    <row r="876" spans="1:7" x14ac:dyDescent="0.3">
      <c r="A876" s="29" t="s">
        <v>774</v>
      </c>
      <c r="B876" s="30">
        <v>19625285539.714474</v>
      </c>
      <c r="C876" s="30">
        <f t="shared" ref="C876" si="1215">B876-B875</f>
        <v>89003675.93529129</v>
      </c>
      <c r="D876" s="32">
        <f t="shared" ref="D876" si="1216">(B876/B875)-1</f>
        <v>4.555814486906451E-3</v>
      </c>
      <c r="E876" s="37">
        <v>150000000</v>
      </c>
      <c r="F876" s="40" t="s">
        <v>182</v>
      </c>
      <c r="G876" s="29" t="s">
        <v>6</v>
      </c>
    </row>
    <row r="877" spans="1:7" x14ac:dyDescent="0.3">
      <c r="A877" s="29" t="s">
        <v>777</v>
      </c>
      <c r="B877" s="30">
        <v>19464784113.606232</v>
      </c>
      <c r="C877" s="30">
        <f t="shared" ref="C877" si="1217">B877-B876</f>
        <v>-160501426.10824203</v>
      </c>
      <c r="D877" s="32">
        <f t="shared" ref="D877" si="1218">(B877/B876)-1</f>
        <v>-8.1782976244317851E-3</v>
      </c>
      <c r="E877" s="99"/>
      <c r="F877"/>
      <c r="G877"/>
    </row>
    <row r="878" spans="1:7" x14ac:dyDescent="0.3">
      <c r="A878" s="29" t="s">
        <v>778</v>
      </c>
      <c r="B878" s="30">
        <v>19687195345.959618</v>
      </c>
      <c r="C878" s="30">
        <f t="shared" ref="C878" si="1219">B878-B877</f>
        <v>222411232.35338593</v>
      </c>
      <c r="D878" s="32">
        <f t="shared" ref="D878" si="1220">(B878/B877)-1</f>
        <v>1.1426339539924113E-2</v>
      </c>
      <c r="E878" s="99"/>
      <c r="F878"/>
      <c r="G878"/>
    </row>
    <row r="879" spans="1:7" x14ac:dyDescent="0.3">
      <c r="A879" s="29" t="s">
        <v>779</v>
      </c>
      <c r="B879" s="30">
        <v>19955225882.976673</v>
      </c>
      <c r="C879" s="30">
        <f t="shared" ref="C879" si="1221">B879-B878</f>
        <v>268030537.01705551</v>
      </c>
      <c r="D879" s="32">
        <f t="shared" ref="D879" si="1222">(B879/B878)-1</f>
        <v>1.3614460176119669E-2</v>
      </c>
      <c r="E879" s="99"/>
      <c r="F879"/>
      <c r="G879"/>
    </row>
    <row r="880" spans="1:7" x14ac:dyDescent="0.3">
      <c r="A880" s="29" t="s">
        <v>780</v>
      </c>
      <c r="B880" s="30">
        <v>20318232601.869904</v>
      </c>
      <c r="C880" s="30">
        <f t="shared" ref="C880" si="1223">B880-B879</f>
        <v>363006718.89323044</v>
      </c>
      <c r="D880" s="32">
        <f t="shared" ref="D880" si="1224">(B880/B879)-1</f>
        <v>1.8191060377968693E-2</v>
      </c>
      <c r="E880" s="99"/>
      <c r="F880"/>
      <c r="G880"/>
    </row>
    <row r="881" spans="1:7" x14ac:dyDescent="0.3">
      <c r="A881" s="29" t="s">
        <v>781</v>
      </c>
      <c r="B881" s="30">
        <v>19641787233.816853</v>
      </c>
      <c r="C881" s="30">
        <f t="shared" ref="C881" si="1225">B881-B880</f>
        <v>-676445368.05305099</v>
      </c>
      <c r="D881" s="32">
        <f t="shared" ref="D881" si="1226">(B881/B880)-1</f>
        <v>-3.329252998072274E-2</v>
      </c>
      <c r="E881" s="99"/>
      <c r="F881"/>
      <c r="G881"/>
    </row>
    <row r="882" spans="1:7" x14ac:dyDescent="0.3">
      <c r="A882" s="29" t="s">
        <v>782</v>
      </c>
      <c r="B882" s="30">
        <v>19608466272.749722</v>
      </c>
      <c r="C882" s="30">
        <f t="shared" ref="C882" si="1227">B882-B881</f>
        <v>-33320961.067131042</v>
      </c>
      <c r="D882" s="32">
        <f t="shared" ref="D882" si="1228">(B882/B881)-1</f>
        <v>-1.6964322375798702E-3</v>
      </c>
      <c r="E882" s="99"/>
      <c r="F882"/>
      <c r="G882"/>
    </row>
    <row r="883" spans="1:7" x14ac:dyDescent="0.3">
      <c r="A883" s="29" t="s">
        <v>783</v>
      </c>
      <c r="B883" s="30">
        <v>20006820310.078453</v>
      </c>
      <c r="C883" s="30">
        <f t="shared" ref="C883" si="1229">B883-B882</f>
        <v>398354037.32873154</v>
      </c>
      <c r="D883" s="32">
        <f t="shared" ref="D883" si="1230">(B883/B882)-1</f>
        <v>2.0315410281850133E-2</v>
      </c>
      <c r="E883" s="99"/>
      <c r="F883"/>
      <c r="G883"/>
    </row>
    <row r="884" spans="1:7" x14ac:dyDescent="0.3">
      <c r="A884" s="29" t="s">
        <v>784</v>
      </c>
      <c r="B884" s="30">
        <v>20163542136.993511</v>
      </c>
      <c r="C884" s="30">
        <f t="shared" ref="C884" si="1231">B884-B883</f>
        <v>156721826.91505814</v>
      </c>
      <c r="D884" s="32">
        <f t="shared" ref="D884" si="1232">(B884/B883)-1</f>
        <v>7.8334200280745225E-3</v>
      </c>
      <c r="E884" s="99"/>
      <c r="F884"/>
      <c r="G884"/>
    </row>
    <row r="885" spans="1:7" x14ac:dyDescent="0.3">
      <c r="A885" s="29" t="s">
        <v>785</v>
      </c>
      <c r="B885" s="30">
        <v>20809569267.160717</v>
      </c>
      <c r="C885" s="30">
        <f t="shared" ref="C885" si="1233">B885-B884</f>
        <v>646027130.16720581</v>
      </c>
      <c r="D885" s="32">
        <f t="shared" ref="D885" si="1234">(B885/B884)-1</f>
        <v>3.2039367179537148E-2</v>
      </c>
      <c r="E885" s="37">
        <v>50000000</v>
      </c>
      <c r="F885" s="40" t="s">
        <v>182</v>
      </c>
      <c r="G885" s="29" t="s">
        <v>4</v>
      </c>
    </row>
    <row r="886" spans="1:7" x14ac:dyDescent="0.3">
      <c r="A886" s="29" t="s">
        <v>786</v>
      </c>
      <c r="B886" s="30">
        <v>21498994522.960285</v>
      </c>
      <c r="C886" s="30">
        <f t="shared" ref="C886" si="1235">B886-B885</f>
        <v>689425255.79956818</v>
      </c>
      <c r="D886" s="32">
        <f t="shared" ref="D886" si="1236">(B886/B885)-1</f>
        <v>3.3130203078616249E-2</v>
      </c>
      <c r="E886" s="99"/>
      <c r="F886"/>
      <c r="G886"/>
    </row>
    <row r="887" spans="1:7" x14ac:dyDescent="0.3">
      <c r="A887" s="29" t="s">
        <v>787</v>
      </c>
      <c r="B887" s="30">
        <v>21529147961.382687</v>
      </c>
      <c r="C887" s="30">
        <f t="shared" ref="C887" si="1237">B887-B886</f>
        <v>30153438.422401428</v>
      </c>
      <c r="D887" s="32">
        <f t="shared" ref="D887" si="1238">(B887/B886)-1</f>
        <v>1.4025511002480062E-3</v>
      </c>
      <c r="E887" s="99"/>
      <c r="F887"/>
      <c r="G887"/>
    </row>
    <row r="888" spans="1:7" x14ac:dyDescent="0.3">
      <c r="A888" s="29" t="s">
        <v>788</v>
      </c>
      <c r="B888" s="30">
        <v>21330568904.515724</v>
      </c>
      <c r="C888" s="30">
        <f t="shared" ref="C888" si="1239">B888-B887</f>
        <v>-198579056.86696243</v>
      </c>
      <c r="D888" s="32">
        <f t="shared" ref="D888" si="1240">(B888/B887)-1</f>
        <v>-9.2237304153028887E-3</v>
      </c>
      <c r="E888" s="99"/>
      <c r="F888"/>
      <c r="G888"/>
    </row>
    <row r="889" spans="1:7" x14ac:dyDescent="0.3">
      <c r="A889" s="29" t="s">
        <v>789</v>
      </c>
      <c r="B889" s="30">
        <v>21158735253.860012</v>
      </c>
      <c r="C889" s="30">
        <f t="shared" ref="C889" si="1241">B889-B888</f>
        <v>-171833650.65571213</v>
      </c>
      <c r="D889" s="32">
        <f t="shared" ref="D889" si="1242">(B889/B888)-1</f>
        <v>-8.0557462590383766E-3</v>
      </c>
      <c r="E889" s="99"/>
      <c r="F889"/>
      <c r="G889"/>
    </row>
    <row r="890" spans="1:7" x14ac:dyDescent="0.3">
      <c r="A890" s="29" t="s">
        <v>790</v>
      </c>
      <c r="B890" s="30">
        <v>20687100941.068066</v>
      </c>
      <c r="C890" s="30">
        <f t="shared" ref="C890" si="1243">B890-B889</f>
        <v>-471634312.79194641</v>
      </c>
      <c r="D890" s="32">
        <f t="shared" ref="D890" si="1244">(B890/B889)-1</f>
        <v>-2.2290288485267817E-2</v>
      </c>
      <c r="E890" s="99"/>
      <c r="F890"/>
      <c r="G890"/>
    </row>
    <row r="891" spans="1:7" x14ac:dyDescent="0.3">
      <c r="A891" s="29" t="s">
        <v>791</v>
      </c>
      <c r="B891" s="30">
        <v>20725363895.350681</v>
      </c>
      <c r="C891" s="30">
        <f t="shared" ref="C891" si="1245">B891-B890</f>
        <v>38262954.282615662</v>
      </c>
      <c r="D891" s="32">
        <f t="shared" ref="D891" si="1246">(B891/B890)-1</f>
        <v>1.8496044656821642E-3</v>
      </c>
      <c r="E891" s="99"/>
      <c r="F891"/>
      <c r="G891"/>
    </row>
    <row r="892" spans="1:7" x14ac:dyDescent="0.3">
      <c r="A892" s="29" t="s">
        <v>792</v>
      </c>
      <c r="B892" s="30">
        <v>20937863741.066921</v>
      </c>
      <c r="C892" s="30">
        <f t="shared" ref="C892" si="1247">B892-B891</f>
        <v>212499845.71623993</v>
      </c>
      <c r="D892" s="32">
        <f t="shared" ref="D892" si="1248">(B892/B891)-1</f>
        <v>1.0253129778045045E-2</v>
      </c>
      <c r="E892" s="99"/>
      <c r="F892"/>
      <c r="G892"/>
    </row>
    <row r="893" spans="1:7" x14ac:dyDescent="0.3">
      <c r="A893" s="29" t="s">
        <v>793</v>
      </c>
      <c r="B893" s="30">
        <v>20817716490.476101</v>
      </c>
      <c r="C893" s="30">
        <f t="shared" ref="C893" si="1249">B893-B892</f>
        <v>-120147250.59082031</v>
      </c>
      <c r="D893" s="32">
        <f t="shared" ref="D893" si="1250">(B893/B892)-1</f>
        <v>-5.7382764582217805E-3</v>
      </c>
      <c r="E893" s="99"/>
      <c r="F893"/>
      <c r="G893"/>
    </row>
    <row r="894" spans="1:7" x14ac:dyDescent="0.3">
      <c r="A894" s="29" t="s">
        <v>794</v>
      </c>
      <c r="B894" s="30">
        <v>20440890127.739719</v>
      </c>
      <c r="C894" s="30">
        <f t="shared" ref="C894" si="1251">B894-B893</f>
        <v>-376826362.73638153</v>
      </c>
      <c r="D894" s="32">
        <f t="shared" ref="D894" si="1252">(B894/B893)-1</f>
        <v>-1.810123424962462E-2</v>
      </c>
      <c r="E894" s="99"/>
      <c r="F894"/>
      <c r="G894"/>
    </row>
    <row r="895" spans="1:7" x14ac:dyDescent="0.3">
      <c r="A895" s="29" t="s">
        <v>795</v>
      </c>
      <c r="B895" s="30">
        <v>20112576224.765812</v>
      </c>
      <c r="C895" s="30">
        <f t="shared" ref="C895" si="1253">B895-B894</f>
        <v>-328313902.97390747</v>
      </c>
      <c r="D895" s="32">
        <f t="shared" ref="D895" si="1254">(B895/B894)-1</f>
        <v>-1.6061624563421639E-2</v>
      </c>
      <c r="E895" s="99"/>
      <c r="F895"/>
      <c r="G895"/>
    </row>
    <row r="896" spans="1:7" x14ac:dyDescent="0.3">
      <c r="A896" s="29" t="s">
        <v>799</v>
      </c>
      <c r="B896" s="30">
        <v>20764600476.761124</v>
      </c>
      <c r="C896" s="30">
        <f t="shared" ref="C896" si="1255">B896-B895</f>
        <v>652024251.99531174</v>
      </c>
      <c r="D896" s="32">
        <f t="shared" ref="D896" si="1256">(B896/B895)-1</f>
        <v>3.2418733667367583E-2</v>
      </c>
      <c r="E896" s="37">
        <v>425000000</v>
      </c>
      <c r="F896" s="40" t="s">
        <v>182</v>
      </c>
      <c r="G896" s="29" t="s">
        <v>798</v>
      </c>
    </row>
    <row r="897" spans="1:8" x14ac:dyDescent="0.3">
      <c r="A897" s="29" t="s">
        <v>800</v>
      </c>
      <c r="B897" s="30">
        <v>20623709604.531643</v>
      </c>
      <c r="C897" s="30">
        <f t="shared" ref="C897" si="1257">B897-B896</f>
        <v>-140890872.22948074</v>
      </c>
      <c r="D897" s="32">
        <f t="shared" ref="D897" si="1258">(B897/B896)-1</f>
        <v>-6.7851472696121018E-3</v>
      </c>
      <c r="E897" s="99"/>
      <c r="F897"/>
      <c r="G897"/>
    </row>
    <row r="898" spans="1:8" x14ac:dyDescent="0.3">
      <c r="A898" s="29" t="s">
        <v>796</v>
      </c>
      <c r="B898" s="30">
        <v>20656150592.584457</v>
      </c>
      <c r="C898" s="30">
        <f t="shared" ref="C898" si="1259">B898-B897</f>
        <v>32440988.052814484</v>
      </c>
      <c r="D898" s="32">
        <f t="shared" ref="D898" si="1260">(B898/B897)-1</f>
        <v>1.5729948042755293E-3</v>
      </c>
      <c r="E898" s="99"/>
      <c r="F898"/>
      <c r="G898"/>
    </row>
    <row r="899" spans="1:8" x14ac:dyDescent="0.3">
      <c r="A899" s="29" t="s">
        <v>801</v>
      </c>
      <c r="B899" s="30">
        <v>20702156329.4772</v>
      </c>
      <c r="C899" s="30">
        <f t="shared" ref="C899" si="1261">B899-B898</f>
        <v>46005736.892742157</v>
      </c>
      <c r="D899" s="32">
        <f t="shared" ref="D899" si="1262">(B899/B898)-1</f>
        <v>2.2272173455812894E-3</v>
      </c>
      <c r="E899" s="99"/>
      <c r="F899"/>
      <c r="G899"/>
    </row>
    <row r="900" spans="1:8" x14ac:dyDescent="0.3">
      <c r="A900" s="29" t="s">
        <v>802</v>
      </c>
      <c r="B900" s="30">
        <v>20794344831.477203</v>
      </c>
      <c r="C900" s="30">
        <f t="shared" ref="C900" si="1263">B900-B899</f>
        <v>92188502.000003815</v>
      </c>
      <c r="D900" s="32">
        <f t="shared" ref="D900" si="1264">(B900/B899)-1</f>
        <v>4.4530869409356022E-3</v>
      </c>
      <c r="E900" s="99"/>
      <c r="F900"/>
      <c r="G900"/>
    </row>
    <row r="901" spans="1:8" x14ac:dyDescent="0.3">
      <c r="A901" s="29" t="s">
        <v>803</v>
      </c>
      <c r="B901" s="30">
        <v>21013854936.965725</v>
      </c>
      <c r="C901" s="30">
        <f t="shared" ref="C901" si="1265">B901-B900</f>
        <v>219510105.48852158</v>
      </c>
      <c r="D901" s="32">
        <f t="shared" ref="D901" si="1266">(B901/B900)-1</f>
        <v>1.055624051959736E-2</v>
      </c>
      <c r="E901" s="99"/>
      <c r="F901"/>
      <c r="G901"/>
    </row>
    <row r="902" spans="1:8" x14ac:dyDescent="0.3">
      <c r="A902" s="29" t="s">
        <v>804</v>
      </c>
      <c r="B902" s="30">
        <v>21023061067.866024</v>
      </c>
      <c r="C902" s="30">
        <f t="shared" ref="C902" si="1267">B902-B901</f>
        <v>9206130.9002990723</v>
      </c>
      <c r="D902" s="32">
        <f t="shared" ref="D902" si="1268">(B902/B901)-1</f>
        <v>4.3809814657591595E-4</v>
      </c>
      <c r="E902" s="37">
        <v>200000000</v>
      </c>
      <c r="F902" s="40" t="s">
        <v>182</v>
      </c>
      <c r="G902" s="29" t="s">
        <v>798</v>
      </c>
    </row>
    <row r="903" spans="1:8" x14ac:dyDescent="0.3">
      <c r="A903" s="29" t="s">
        <v>805</v>
      </c>
      <c r="B903" s="30">
        <v>20947656808.288372</v>
      </c>
      <c r="C903" s="30">
        <f t="shared" ref="C903" si="1269">B903-B902</f>
        <v>-75404259.577651978</v>
      </c>
      <c r="D903" s="32">
        <f t="shared" ref="D903" si="1270">(B903/B902)-1</f>
        <v>-3.5867402627159928E-3</v>
      </c>
      <c r="E903" s="37">
        <v>100000000</v>
      </c>
      <c r="F903" s="40" t="s">
        <v>182</v>
      </c>
      <c r="G903" s="29" t="s">
        <v>6</v>
      </c>
    </row>
    <row r="904" spans="1:8" x14ac:dyDescent="0.3">
      <c r="A904" s="29" t="s">
        <v>806</v>
      </c>
      <c r="B904" s="30">
        <v>20911509200.480316</v>
      </c>
      <c r="C904" s="30">
        <f t="shared" ref="C904" si="1271">B904-B903</f>
        <v>-36147607.808055878</v>
      </c>
      <c r="D904" s="32">
        <f t="shared" ref="D904" si="1272">(B904/B903)-1</f>
        <v>-1.7256158117767706E-3</v>
      </c>
      <c r="E904" s="99"/>
      <c r="F904"/>
      <c r="G904"/>
    </row>
    <row r="905" spans="1:8" x14ac:dyDescent="0.3">
      <c r="A905" s="29" t="s">
        <v>807</v>
      </c>
      <c r="B905" s="30">
        <v>20668665658.419235</v>
      </c>
      <c r="C905" s="30">
        <f t="shared" ref="C905" si="1273">B905-B904</f>
        <v>-242843542.06108093</v>
      </c>
      <c r="D905" s="32">
        <f t="shared" ref="D905" si="1274">(B905/B904)-1</f>
        <v>-1.1612913239925415E-2</v>
      </c>
      <c r="E905" s="99"/>
      <c r="F905"/>
      <c r="G905"/>
    </row>
    <row r="906" spans="1:8" x14ac:dyDescent="0.3">
      <c r="A906" s="29" t="s">
        <v>808</v>
      </c>
      <c r="B906" s="30">
        <v>20464640870.267437</v>
      </c>
      <c r="C906" s="30">
        <f t="shared" ref="C906" si="1275">B906-B905</f>
        <v>-204024788.15179825</v>
      </c>
      <c r="D906" s="32">
        <f t="shared" ref="D906" si="1276">(B906/B905)-1</f>
        <v>-9.8712123715973821E-3</v>
      </c>
      <c r="E906" s="99"/>
      <c r="F906"/>
      <c r="G906"/>
    </row>
    <row r="907" spans="1:8" x14ac:dyDescent="0.3">
      <c r="A907" s="29" t="s">
        <v>809</v>
      </c>
      <c r="B907" s="30">
        <v>20414332512.948223</v>
      </c>
      <c r="C907" s="30">
        <f t="shared" ref="C907" si="1277">B907-B906</f>
        <v>-50308357.319213867</v>
      </c>
      <c r="D907" s="32">
        <f t="shared" ref="D907" si="1278">(B907/B906)-1</f>
        <v>-2.4583063850539544E-3</v>
      </c>
      <c r="E907" s="99"/>
      <c r="F907"/>
      <c r="G907"/>
    </row>
    <row r="908" spans="1:8" x14ac:dyDescent="0.3">
      <c r="A908" s="29" t="s">
        <v>810</v>
      </c>
      <c r="B908" s="30">
        <v>20150503388.192902</v>
      </c>
      <c r="C908" s="30">
        <f t="shared" ref="C908" si="1279">B908-B907</f>
        <v>-263829124.7553215</v>
      </c>
      <c r="D908" s="32">
        <f t="shared" ref="D908" si="1280">(B908/B907)-1</f>
        <v>-1.292372036107392E-2</v>
      </c>
      <c r="E908" s="99"/>
      <c r="F908"/>
      <c r="G908"/>
    </row>
    <row r="909" spans="1:8" x14ac:dyDescent="0.3">
      <c r="A909" s="29" t="s">
        <v>811</v>
      </c>
      <c r="B909" s="30">
        <v>20044965298.456303</v>
      </c>
      <c r="C909" s="30">
        <f t="shared" ref="C909" si="1281">B909-B908</f>
        <v>-105538089.73659897</v>
      </c>
      <c r="D909" s="32">
        <f t="shared" ref="D909" si="1282">(B909/B908)-1</f>
        <v>-5.2374914761900149E-3</v>
      </c>
      <c r="E909" s="99"/>
      <c r="F909"/>
      <c r="G909"/>
    </row>
    <row r="910" spans="1:8" x14ac:dyDescent="0.3">
      <c r="A910" s="29" t="s">
        <v>812</v>
      </c>
      <c r="B910" s="30">
        <v>19811277129.111378</v>
      </c>
      <c r="C910" s="30">
        <f t="shared" ref="C910:C911" si="1283">B910-B909</f>
        <v>-233688169.34492493</v>
      </c>
      <c r="D910" s="32">
        <f t="shared" ref="D910:D911" si="1284">(B910/B909)-1</f>
        <v>-1.1658197750181287E-2</v>
      </c>
      <c r="E910" s="99"/>
      <c r="F910"/>
      <c r="G910"/>
    </row>
    <row r="911" spans="1:8" x14ac:dyDescent="0.3">
      <c r="A911" s="29" t="s">
        <v>813</v>
      </c>
      <c r="B911" s="30">
        <v>19787063128.335815</v>
      </c>
      <c r="C911" s="30">
        <f t="shared" si="1283"/>
        <v>-24214000.775562286</v>
      </c>
      <c r="D911" s="32">
        <f t="shared" si="1284"/>
        <v>-1.2222332067618469E-3</v>
      </c>
      <c r="E911" s="99"/>
      <c r="F911"/>
      <c r="G911"/>
      <c r="H911"/>
    </row>
    <row r="912" spans="1:8" x14ac:dyDescent="0.3">
      <c r="A912" s="29" t="s">
        <v>814</v>
      </c>
      <c r="B912" s="30">
        <v>20907190121.912975</v>
      </c>
      <c r="C912" s="30">
        <f t="shared" ref="C912" si="1285">B912-B911</f>
        <v>1120126993.5771599</v>
      </c>
      <c r="D912" s="32">
        <f t="shared" ref="D912" si="1286">(B912/B911)-1</f>
        <v>5.6609057459017009E-2</v>
      </c>
      <c r="E912" s="37">
        <v>280000000</v>
      </c>
      <c r="F912" s="40" t="s">
        <v>182</v>
      </c>
      <c r="G912" s="29" t="s">
        <v>798</v>
      </c>
      <c r="H912"/>
    </row>
    <row r="913" spans="1:8" x14ac:dyDescent="0.3">
      <c r="A913" s="29" t="s">
        <v>797</v>
      </c>
      <c r="B913" s="30">
        <v>21122292065.90427</v>
      </c>
      <c r="C913" s="30">
        <f t="shared" ref="C913" si="1287">B913-B912</f>
        <v>215101943.99129486</v>
      </c>
      <c r="D913" s="32">
        <f t="shared" ref="D913" si="1288">(B913/B912)-1</f>
        <v>1.0288419569392193E-2</v>
      </c>
      <c r="E913" s="99"/>
      <c r="F913"/>
      <c r="G913"/>
      <c r="H913"/>
    </row>
    <row r="914" spans="1:8" x14ac:dyDescent="0.3">
      <c r="A914" s="29" t="s">
        <v>815</v>
      </c>
      <c r="B914" s="30">
        <v>21458243253.405651</v>
      </c>
      <c r="C914" s="30">
        <f t="shared" ref="C914" si="1289">B914-B913</f>
        <v>335951187.50138092</v>
      </c>
      <c r="D914" s="32">
        <f t="shared" ref="D914" si="1290">(B914/B913)-1</f>
        <v>1.5905053601814156E-2</v>
      </c>
      <c r="E914" s="99"/>
      <c r="F914"/>
      <c r="G914"/>
      <c r="H914"/>
    </row>
    <row r="915" spans="1:8" x14ac:dyDescent="0.3">
      <c r="A915" s="29" t="s">
        <v>816</v>
      </c>
      <c r="B915" s="30">
        <v>21805681023.351017</v>
      </c>
      <c r="C915" s="30">
        <f t="shared" ref="C915" si="1291">B915-B914</f>
        <v>347437769.94536591</v>
      </c>
      <c r="D915" s="32">
        <f t="shared" ref="D915" si="1292">(B915/B914)-1</f>
        <v>1.6191342685530685E-2</v>
      </c>
      <c r="E915" s="99"/>
      <c r="F915"/>
      <c r="G915"/>
      <c r="H915"/>
    </row>
    <row r="916" spans="1:8" x14ac:dyDescent="0.3">
      <c r="A916" s="29" t="s">
        <v>817</v>
      </c>
      <c r="B916" s="30">
        <v>22653064279.412926</v>
      </c>
      <c r="C916" s="30">
        <f t="shared" ref="C916" si="1293">B916-B915</f>
        <v>847383256.06190872</v>
      </c>
      <c r="D916" s="32">
        <f t="shared" ref="D916" si="1294">(B916/B915)-1</f>
        <v>3.886066457426729E-2</v>
      </c>
      <c r="E916" s="37">
        <v>200000000</v>
      </c>
      <c r="F916" s="40" t="s">
        <v>182</v>
      </c>
      <c r="G916" s="29" t="s">
        <v>6</v>
      </c>
      <c r="H916"/>
    </row>
    <row r="917" spans="1:8" x14ac:dyDescent="0.3">
      <c r="A917" s="29" t="s">
        <v>818</v>
      </c>
      <c r="B917" s="30">
        <v>23131578786.589817</v>
      </c>
      <c r="C917" s="30">
        <f t="shared" ref="C917" si="1295">B917-B916</f>
        <v>478514507.17689133</v>
      </c>
      <c r="D917" s="32">
        <f t="shared" ref="D917" si="1296">(B917/B916)-1</f>
        <v>2.1123610531214698E-2</v>
      </c>
      <c r="E917" s="99"/>
      <c r="F917"/>
      <c r="G917"/>
      <c r="H917"/>
    </row>
    <row r="918" spans="1:8" x14ac:dyDescent="0.3">
      <c r="A918" s="29" t="s">
        <v>819</v>
      </c>
      <c r="B918" s="30">
        <v>23428371129.776279</v>
      </c>
      <c r="C918" s="30">
        <f t="shared" ref="C918" si="1297">B918-B917</f>
        <v>296792343.1864624</v>
      </c>
      <c r="D918" s="32">
        <f t="shared" ref="D918" si="1298">(B918/B917)-1</f>
        <v>1.2830613332736496E-2</v>
      </c>
      <c r="E918" s="37">
        <v>200000000</v>
      </c>
      <c r="F918" s="40" t="s">
        <v>182</v>
      </c>
      <c r="G918" s="29" t="s">
        <v>6</v>
      </c>
      <c r="H918"/>
    </row>
    <row r="919" spans="1:8" x14ac:dyDescent="0.3">
      <c r="A919" s="29" t="s">
        <v>820</v>
      </c>
      <c r="B919" s="30">
        <v>23281746622.177319</v>
      </c>
      <c r="C919" s="30">
        <f t="shared" ref="C919" si="1299">B919-B918</f>
        <v>-146624507.59896088</v>
      </c>
      <c r="D919" s="32">
        <f t="shared" ref="D919" si="1300">(B919/B918)-1</f>
        <v>-6.2584166345481806E-3</v>
      </c>
      <c r="E919" s="99"/>
      <c r="F919"/>
      <c r="G919"/>
      <c r="H919"/>
    </row>
    <row r="920" spans="1:8" x14ac:dyDescent="0.3">
      <c r="A920" s="29" t="s">
        <v>821</v>
      </c>
      <c r="B920" s="30">
        <v>23675703122.343723</v>
      </c>
      <c r="C920" s="30">
        <f t="shared" ref="C920" si="1301">B920-B919</f>
        <v>393956500.16640472</v>
      </c>
      <c r="D920" s="32">
        <f t="shared" ref="D920" si="1302">(B920/B919)-1</f>
        <v>1.6921260529102033E-2</v>
      </c>
      <c r="E920" s="99"/>
      <c r="F920"/>
      <c r="G920"/>
      <c r="H920"/>
    </row>
    <row r="921" spans="1:8" x14ac:dyDescent="0.3">
      <c r="A921" s="29" t="s">
        <v>822</v>
      </c>
      <c r="B921" s="30">
        <v>24303071343.750698</v>
      </c>
      <c r="C921" s="30">
        <f t="shared" ref="C921" si="1303">B921-B920</f>
        <v>627368221.40697479</v>
      </c>
      <c r="D921" s="32">
        <f t="shared" ref="D921" si="1304">(B921/B920)-1</f>
        <v>2.6498398724002392E-2</v>
      </c>
      <c r="E921" s="37">
        <v>260000000</v>
      </c>
      <c r="F921" s="40" t="s">
        <v>182</v>
      </c>
      <c r="G921" s="29" t="s">
        <v>850</v>
      </c>
      <c r="H921" s="29" t="s">
        <v>848</v>
      </c>
    </row>
    <row r="922" spans="1:8" x14ac:dyDescent="0.3">
      <c r="A922" s="29" t="s">
        <v>823</v>
      </c>
      <c r="B922" s="30">
        <v>24524350507.271297</v>
      </c>
      <c r="C922" s="30">
        <f t="shared" ref="C922" si="1305">B922-B921</f>
        <v>221279163.52059937</v>
      </c>
      <c r="D922" s="32">
        <f t="shared" ref="D922" si="1306">(B922/B921)-1</f>
        <v>9.1049876120903317E-3</v>
      </c>
      <c r="E922" s="99"/>
      <c r="F922"/>
      <c r="G922"/>
      <c r="H922"/>
    </row>
    <row r="923" spans="1:8" x14ac:dyDescent="0.3">
      <c r="A923" s="29" t="s">
        <v>824</v>
      </c>
      <c r="B923" s="30">
        <v>24838958929.05386</v>
      </c>
      <c r="C923" s="30">
        <f t="shared" ref="C923" si="1307">B923-B922</f>
        <v>314608421.78256226</v>
      </c>
      <c r="D923" s="32">
        <f t="shared" ref="D923" si="1308">(B923/B922)-1</f>
        <v>1.2828409938492991E-2</v>
      </c>
      <c r="E923" s="37">
        <v>180000000</v>
      </c>
      <c r="F923" s="40" t="s">
        <v>182</v>
      </c>
      <c r="G923" s="29" t="s">
        <v>1</v>
      </c>
      <c r="H923"/>
    </row>
    <row r="924" spans="1:8" x14ac:dyDescent="0.3">
      <c r="A924" s="29" t="s">
        <v>825</v>
      </c>
      <c r="B924" s="30">
        <v>24857609326.430634</v>
      </c>
      <c r="C924" s="30">
        <f t="shared" ref="C924" si="1309">B924-B923</f>
        <v>18650397.376773834</v>
      </c>
      <c r="D924" s="32">
        <f t="shared" ref="D924" si="1310">(B924/B923)-1</f>
        <v>7.5085261946949977E-4</v>
      </c>
      <c r="E924" s="99"/>
      <c r="F924"/>
      <c r="G924"/>
      <c r="H924"/>
    </row>
    <row r="925" spans="1:8" x14ac:dyDescent="0.3">
      <c r="A925" s="29" t="s">
        <v>826</v>
      </c>
      <c r="B925" s="30">
        <v>25141499395.024548</v>
      </c>
      <c r="C925" s="30">
        <f t="shared" ref="C925" si="1311">B925-B924</f>
        <v>283890068.59391403</v>
      </c>
      <c r="D925" s="32">
        <f t="shared" ref="D925" si="1312">(B925/B924)-1</f>
        <v>1.1420650508496832E-2</v>
      </c>
      <c r="E925" s="99"/>
      <c r="F925"/>
      <c r="G925"/>
      <c r="H925"/>
    </row>
    <row r="926" spans="1:8" x14ac:dyDescent="0.3">
      <c r="A926" s="29" t="s">
        <v>827</v>
      </c>
      <c r="B926" s="30">
        <v>25444386217.586948</v>
      </c>
      <c r="C926" s="30">
        <f t="shared" ref="C926" si="1313">B926-B925</f>
        <v>302886822.56240082</v>
      </c>
      <c r="D926" s="32">
        <f t="shared" ref="D926" si="1314">(B926/B925)-1</f>
        <v>1.204728555777157E-2</v>
      </c>
      <c r="E926" s="37">
        <v>44000000</v>
      </c>
      <c r="F926" s="40" t="s">
        <v>182</v>
      </c>
      <c r="G926" s="29" t="s">
        <v>851</v>
      </c>
      <c r="H926"/>
    </row>
    <row r="927" spans="1:8" x14ac:dyDescent="0.3">
      <c r="A927" s="29" t="s">
        <v>828</v>
      </c>
      <c r="B927" s="30">
        <v>25819032474.991379</v>
      </c>
      <c r="C927" s="30">
        <f t="shared" ref="C927" si="1315">B927-B926</f>
        <v>374646257.40443039</v>
      </c>
      <c r="D927" s="32">
        <f t="shared" ref="D927" si="1316">(B927/B926)-1</f>
        <v>1.4724122413512175E-2</v>
      </c>
      <c r="E927" s="37">
        <v>87500000</v>
      </c>
      <c r="F927" s="40" t="s">
        <v>182</v>
      </c>
      <c r="G927" s="29" t="s">
        <v>798</v>
      </c>
    </row>
    <row r="928" spans="1:8" x14ac:dyDescent="0.3">
      <c r="A928" s="29" t="s">
        <v>829</v>
      </c>
      <c r="B928" s="30">
        <v>25920506396.847206</v>
      </c>
      <c r="C928" s="30">
        <f t="shared" ref="C928" si="1317">B928-B927</f>
        <v>101473921.85582733</v>
      </c>
      <c r="D928" s="32">
        <f t="shared" ref="D928" si="1318">(B928/B927)-1</f>
        <v>3.9301984671236134E-3</v>
      </c>
      <c r="E928" s="99"/>
      <c r="F928"/>
      <c r="G928"/>
    </row>
    <row r="929" spans="1:8" x14ac:dyDescent="0.3">
      <c r="A929" s="29" t="s">
        <v>830</v>
      </c>
      <c r="B929" s="30">
        <v>25665564233.865879</v>
      </c>
      <c r="C929" s="30">
        <f t="shared" ref="C929" si="1319">B929-B928</f>
        <v>-254942162.98132706</v>
      </c>
      <c r="D929" s="32">
        <f t="shared" ref="D929" si="1320">(B929/B928)-1</f>
        <v>-9.835539440399832E-3</v>
      </c>
      <c r="E929" s="99"/>
      <c r="F929"/>
      <c r="G929"/>
    </row>
    <row r="930" spans="1:8" x14ac:dyDescent="0.3">
      <c r="A930" s="29" t="s">
        <v>831</v>
      </c>
      <c r="B930" s="30">
        <v>25670476440.679108</v>
      </c>
      <c r="C930" s="30">
        <f t="shared" ref="C930" si="1321">B930-B929</f>
        <v>4912206.8132286072</v>
      </c>
      <c r="D930" s="32">
        <f t="shared" ref="D930" si="1322">(B930/B929)-1</f>
        <v>1.9139290172898171E-4</v>
      </c>
      <c r="E930" s="37">
        <v>6300000</v>
      </c>
      <c r="F930" s="40" t="s">
        <v>182</v>
      </c>
      <c r="G930" s="29" t="s">
        <v>5</v>
      </c>
    </row>
    <row r="931" spans="1:8" x14ac:dyDescent="0.3">
      <c r="A931" s="29" t="s">
        <v>832</v>
      </c>
      <c r="B931" s="30">
        <v>25572343858.13224</v>
      </c>
      <c r="C931" s="30">
        <f t="shared" ref="C931" si="1323">B931-B930</f>
        <v>-98132582.546867371</v>
      </c>
      <c r="D931" s="32">
        <f t="shared" ref="D931" si="1324">(B931/B930)-1</f>
        <v>-3.8227799462015044E-3</v>
      </c>
      <c r="E931" s="37">
        <v>150000000</v>
      </c>
      <c r="F931" s="40" t="s">
        <v>182</v>
      </c>
      <c r="G931" s="29" t="s">
        <v>6</v>
      </c>
    </row>
    <row r="932" spans="1:8" x14ac:dyDescent="0.3">
      <c r="A932" s="29" t="s">
        <v>833</v>
      </c>
      <c r="B932" s="30">
        <v>25364459180.182709</v>
      </c>
      <c r="C932" s="30">
        <f t="shared" ref="C932" si="1325">B932-B931</f>
        <v>-207884677.94953156</v>
      </c>
      <c r="D932" s="32">
        <f t="shared" ref="D932" si="1326">(B932/B931)-1</f>
        <v>-8.1292774374853716E-3</v>
      </c>
      <c r="E932" s="37">
        <v>60000000</v>
      </c>
      <c r="F932" s="40" t="s">
        <v>182</v>
      </c>
      <c r="G932" s="29" t="s">
        <v>4</v>
      </c>
    </row>
    <row r="933" spans="1:8" x14ac:dyDescent="0.3">
      <c r="A933" s="29" t="s">
        <v>834</v>
      </c>
      <c r="B933" s="30">
        <v>25859440229.676037</v>
      </c>
      <c r="C933" s="30">
        <f t="shared" ref="C933" si="1327">B933-B932</f>
        <v>494981049.49332809</v>
      </c>
      <c r="D933" s="32">
        <f t="shared" ref="D933" si="1328">(B933/B932)-1</f>
        <v>1.9514748805685489E-2</v>
      </c>
      <c r="E933" s="37">
        <v>8500000</v>
      </c>
      <c r="F933" s="40" t="s">
        <v>182</v>
      </c>
      <c r="G933" s="29" t="s">
        <v>852</v>
      </c>
    </row>
    <row r="934" spans="1:8" x14ac:dyDescent="0.3">
      <c r="A934" s="29" t="s">
        <v>835</v>
      </c>
      <c r="B934" s="30">
        <v>26195793332.561539</v>
      </c>
      <c r="C934" s="30">
        <f t="shared" ref="C934" si="1329">B934-B933</f>
        <v>336353102.88550186</v>
      </c>
      <c r="D934" s="32">
        <f t="shared" ref="D934" si="1330">(B934/B933)-1</f>
        <v>1.300697539846607E-2</v>
      </c>
      <c r="E934" s="99"/>
      <c r="F934"/>
      <c r="G934"/>
    </row>
    <row r="935" spans="1:8" x14ac:dyDescent="0.3">
      <c r="A935" s="29" t="s">
        <v>836</v>
      </c>
      <c r="B935" s="30">
        <v>25911562230.194134</v>
      </c>
      <c r="C935" s="30">
        <f t="shared" ref="C935" si="1331">B935-B934</f>
        <v>-284231102.36740494</v>
      </c>
      <c r="D935" s="32">
        <f t="shared" ref="D935" si="1332">(B935/B934)-1</f>
        <v>-1.0850257472985292E-2</v>
      </c>
      <c r="E935" s="37">
        <v>150000000</v>
      </c>
      <c r="F935" s="40" t="s">
        <v>182</v>
      </c>
      <c r="G935" s="29" t="s">
        <v>5</v>
      </c>
    </row>
    <row r="936" spans="1:8" x14ac:dyDescent="0.3">
      <c r="A936" s="29" t="s">
        <v>837</v>
      </c>
      <c r="B936" s="30">
        <v>26552893389.605644</v>
      </c>
      <c r="C936" s="30">
        <f t="shared" ref="C936" si="1333">B936-B935</f>
        <v>641331159.41151047</v>
      </c>
      <c r="D936" s="32">
        <f t="shared" ref="D936" si="1334">(B936/B935)-1</f>
        <v>2.4750771632911617E-2</v>
      </c>
      <c r="E936" s="99"/>
      <c r="F936"/>
      <c r="G936"/>
    </row>
    <row r="937" spans="1:8" x14ac:dyDescent="0.3">
      <c r="A937" s="29" t="s">
        <v>838</v>
      </c>
      <c r="B937" s="30">
        <v>25957477672.749744</v>
      </c>
      <c r="C937" s="30">
        <f t="shared" ref="C937" si="1335">B937-B936</f>
        <v>-595415716.85589981</v>
      </c>
      <c r="D937" s="32">
        <f t="shared" ref="D937" si="1336">(B937/B936)-1</f>
        <v>-2.2423760308131979E-2</v>
      </c>
      <c r="E937" s="99"/>
      <c r="F937"/>
      <c r="G937"/>
    </row>
    <row r="938" spans="1:8" x14ac:dyDescent="0.3">
      <c r="A938" s="29" t="s">
        <v>839</v>
      </c>
      <c r="B938" s="30">
        <v>25972394946.030777</v>
      </c>
      <c r="C938" s="30">
        <f t="shared" ref="C938" si="1337">B938-B937</f>
        <v>14917273.281032562</v>
      </c>
      <c r="D938" s="32">
        <f t="shared" ref="D938" si="1338">(B938/B937)-1</f>
        <v>5.7468115620085136E-4</v>
      </c>
      <c r="E938" s="37">
        <v>40000000</v>
      </c>
      <c r="F938" s="40" t="s">
        <v>182</v>
      </c>
      <c r="G938" s="29" t="s">
        <v>853</v>
      </c>
    </row>
    <row r="939" spans="1:8" x14ac:dyDescent="0.3">
      <c r="A939" s="29" t="s">
        <v>840</v>
      </c>
      <c r="B939" s="30">
        <v>26179993772.082661</v>
      </c>
      <c r="C939" s="30">
        <f t="shared" ref="C939" si="1339">B939-B938</f>
        <v>207598826.0518837</v>
      </c>
      <c r="D939" s="32">
        <f t="shared" ref="D939" si="1340">(B939/B938)-1</f>
        <v>7.9930567236199401E-3</v>
      </c>
      <c r="E939" s="99"/>
      <c r="F939"/>
      <c r="G939"/>
    </row>
    <row r="940" spans="1:8" x14ac:dyDescent="0.3">
      <c r="A940" s="29" t="s">
        <v>841</v>
      </c>
      <c r="B940" s="30">
        <v>26209380746.129101</v>
      </c>
      <c r="C940" s="30">
        <f t="shared" ref="C940" si="1341">B940-B939</f>
        <v>29386974.046440125</v>
      </c>
      <c r="D940" s="32">
        <f t="shared" ref="D940" si="1342">(B940/B939)-1</f>
        <v>1.1224973658234827E-3</v>
      </c>
      <c r="E940" s="99"/>
      <c r="F940"/>
      <c r="G940"/>
    </row>
    <row r="941" spans="1:8" x14ac:dyDescent="0.3">
      <c r="A941" s="29" t="s">
        <v>842</v>
      </c>
      <c r="B941" s="30">
        <v>26463520095.763741</v>
      </c>
      <c r="C941" s="30">
        <f t="shared" ref="C941" si="1343">B941-B940</f>
        <v>254139349.63463974</v>
      </c>
      <c r="D941" s="32">
        <f t="shared" ref="D941" si="1344">(B941/B940)-1</f>
        <v>9.6965034044984577E-3</v>
      </c>
      <c r="E941" s="37">
        <v>50000000</v>
      </c>
      <c r="F941" s="40" t="s">
        <v>182</v>
      </c>
      <c r="G941" s="29" t="s">
        <v>6</v>
      </c>
    </row>
    <row r="942" spans="1:8" x14ac:dyDescent="0.3">
      <c r="A942" s="29" t="s">
        <v>843</v>
      </c>
      <c r="B942" s="30">
        <v>26999716432.5019</v>
      </c>
      <c r="C942" s="30">
        <f t="shared" ref="C942" si="1345">B942-B941</f>
        <v>536196336.73815918</v>
      </c>
      <c r="D942" s="32">
        <f t="shared" ref="D942" si="1346">(B942/B941)-1</f>
        <v>2.0261716309766031E-2</v>
      </c>
      <c r="E942" s="99"/>
      <c r="F942"/>
      <c r="G942"/>
    </row>
    <row r="943" spans="1:8" x14ac:dyDescent="0.3">
      <c r="A943" s="29" t="s">
        <v>844</v>
      </c>
      <c r="B943" s="30">
        <v>27514742268.316574</v>
      </c>
      <c r="C943" s="30">
        <f t="shared" ref="C943" si="1347">B943-B942</f>
        <v>515025835.81467438</v>
      </c>
      <c r="D943" s="32">
        <f t="shared" ref="D943" si="1348">(B943/B942)-1</f>
        <v>1.9075231293714356E-2</v>
      </c>
      <c r="E943" s="37">
        <v>15000000</v>
      </c>
      <c r="F943" s="40" t="s">
        <v>182</v>
      </c>
      <c r="G943" s="29" t="s">
        <v>852</v>
      </c>
      <c r="H943"/>
    </row>
    <row r="944" spans="1:8" x14ac:dyDescent="0.3">
      <c r="A944" s="29" t="s">
        <v>845</v>
      </c>
      <c r="B944" s="30">
        <v>27936766813.034771</v>
      </c>
      <c r="C944" s="30">
        <f t="shared" ref="C944" si="1349">B944-B943</f>
        <v>422024544.71819687</v>
      </c>
      <c r="D944" s="32">
        <f t="shared" ref="D944" si="1350">(B944/B943)-1</f>
        <v>1.5338124580732915E-2</v>
      </c>
      <c r="E944" s="37">
        <v>450000000</v>
      </c>
      <c r="F944" s="40" t="s">
        <v>182</v>
      </c>
      <c r="G944" s="29" t="s">
        <v>1</v>
      </c>
      <c r="H944"/>
    </row>
    <row r="945" spans="1:8" x14ac:dyDescent="0.3">
      <c r="A945" s="29" t="s">
        <v>846</v>
      </c>
      <c r="B945" s="30">
        <v>29421715942.173805</v>
      </c>
      <c r="C945" s="30">
        <f t="shared" ref="C945" si="1351">B945-B944</f>
        <v>1484949129.1390343</v>
      </c>
      <c r="D945" s="32">
        <f t="shared" ref="D945" si="1352">(B945/B944)-1</f>
        <v>5.3153936497983834E-2</v>
      </c>
      <c r="E945" s="37">
        <v>920000000</v>
      </c>
      <c r="F945" s="40" t="s">
        <v>182</v>
      </c>
      <c r="G945" s="29" t="s">
        <v>853</v>
      </c>
      <c r="H945"/>
    </row>
    <row r="946" spans="1:8" x14ac:dyDescent="0.3">
      <c r="A946" s="29" t="s">
        <v>847</v>
      </c>
      <c r="B946" s="30">
        <v>30341023730.6749</v>
      </c>
      <c r="C946" s="30">
        <f t="shared" ref="C946" si="1353">B946-B945</f>
        <v>919307788.50109482</v>
      </c>
      <c r="D946" s="32">
        <f t="shared" ref="D946" si="1354">(B946/B945)-1</f>
        <v>3.1245893010044989E-2</v>
      </c>
      <c r="E946" s="37">
        <v>530000000</v>
      </c>
      <c r="F946" s="40" t="s">
        <v>182</v>
      </c>
      <c r="G946" s="29" t="s">
        <v>854</v>
      </c>
      <c r="H946" s="29" t="s">
        <v>849</v>
      </c>
    </row>
    <row r="947" spans="1:8" x14ac:dyDescent="0.3">
      <c r="A947" s="29" t="s">
        <v>857</v>
      </c>
      <c r="B947" s="30">
        <v>33117020740.506401</v>
      </c>
      <c r="C947" s="30">
        <f t="shared" ref="C947" si="1355">B947-B946</f>
        <v>2775997009.831501</v>
      </c>
      <c r="D947" s="32">
        <f t="shared" ref="D947" si="1356">(B947/B946)-1</f>
        <v>9.149318870954759E-2</v>
      </c>
      <c r="E947" s="37">
        <v>4820000000</v>
      </c>
      <c r="F947" s="40" t="s">
        <v>182</v>
      </c>
      <c r="G947" s="29" t="s">
        <v>859</v>
      </c>
      <c r="H947"/>
    </row>
    <row r="948" spans="1:8" x14ac:dyDescent="0.3">
      <c r="A948" s="29" t="s">
        <v>860</v>
      </c>
      <c r="B948" s="30">
        <v>32816803976</v>
      </c>
      <c r="C948" s="30">
        <f t="shared" ref="C948" si="1357">B948-B947</f>
        <v>-300216764.50640106</v>
      </c>
      <c r="D948" s="32">
        <f t="shared" ref="D948" si="1358">(B948/B947)-1</f>
        <v>-9.065331294707879E-3</v>
      </c>
      <c r="E948" s="99"/>
      <c r="F948"/>
      <c r="G948"/>
      <c r="H948"/>
    </row>
    <row r="949" spans="1:8" x14ac:dyDescent="0.3">
      <c r="A949" s="29" t="s">
        <v>861</v>
      </c>
      <c r="B949" s="30">
        <v>32757119877.141102</v>
      </c>
      <c r="C949" s="30">
        <f t="shared" ref="C949" si="1359">B949-B948</f>
        <v>-59684098.858898163</v>
      </c>
      <c r="D949" s="32">
        <f t="shared" ref="D949" si="1360">(B949/B948)-1</f>
        <v>-1.8187054078314668E-3</v>
      </c>
      <c r="E949" s="37">
        <v>200000000</v>
      </c>
      <c r="F949" s="40" t="s">
        <v>182</v>
      </c>
      <c r="G949" s="29" t="s">
        <v>6</v>
      </c>
      <c r="H949"/>
    </row>
    <row r="950" spans="1:8" x14ac:dyDescent="0.3">
      <c r="A950" s="29" t="s">
        <v>863</v>
      </c>
      <c r="B950" s="30">
        <v>36971488182.33593</v>
      </c>
      <c r="C950" s="30">
        <f t="shared" ref="C950" si="1361">B950-B949</f>
        <v>4214368305.194828</v>
      </c>
      <c r="D950" s="32">
        <f t="shared" ref="D950" si="1362">(B950/B949)-1</f>
        <v>0.12865503197476591</v>
      </c>
      <c r="E950" s="37">
        <v>700000000</v>
      </c>
      <c r="F950" s="40" t="s">
        <v>182</v>
      </c>
      <c r="G950" s="29" t="s">
        <v>864</v>
      </c>
      <c r="H950"/>
    </row>
    <row r="951" spans="1:8" x14ac:dyDescent="0.3">
      <c r="A951" s="29" t="s">
        <v>865</v>
      </c>
      <c r="B951" s="30">
        <v>40261469854.075897</v>
      </c>
      <c r="C951" s="30">
        <f t="shared" ref="C951" si="1363">B951-B950</f>
        <v>3289981671.7399673</v>
      </c>
      <c r="D951" s="32">
        <f t="shared" ref="D951" si="1364">(B951/B950)-1</f>
        <v>8.8986996020134157E-2</v>
      </c>
      <c r="E951" s="37">
        <v>950000000</v>
      </c>
      <c r="F951" s="40" t="s">
        <v>182</v>
      </c>
      <c r="G951" s="29" t="s">
        <v>864</v>
      </c>
      <c r="H951"/>
    </row>
    <row r="952" spans="1:8" x14ac:dyDescent="0.3">
      <c r="A952" s="29" t="s">
        <v>866</v>
      </c>
      <c r="B952" s="30">
        <v>41224488622.870621</v>
      </c>
      <c r="C952" s="30">
        <f t="shared" ref="C952" si="1365">B952-B951</f>
        <v>963018768.79472351</v>
      </c>
      <c r="D952" s="32">
        <f t="shared" ref="D952" si="1366">(B952/B951)-1</f>
        <v>2.3919116025448162E-2</v>
      </c>
      <c r="E952" s="99"/>
      <c r="F952"/>
      <c r="G952"/>
      <c r="H952"/>
    </row>
    <row r="953" spans="1:8" x14ac:dyDescent="0.3">
      <c r="A953" s="29" t="s">
        <v>867</v>
      </c>
      <c r="B953" s="30">
        <v>42866502815.795746</v>
      </c>
      <c r="C953" s="30">
        <f t="shared" ref="C953" si="1367">B953-B952</f>
        <v>1642014192.9251251</v>
      </c>
      <c r="D953" s="32">
        <f t="shared" ref="D953" si="1368">(B953/B952)-1</f>
        <v>3.9831038486531245E-2</v>
      </c>
      <c r="E953" s="99"/>
      <c r="F953"/>
      <c r="G953"/>
      <c r="H953"/>
    </row>
    <row r="954" spans="1:8" x14ac:dyDescent="0.3">
      <c r="A954" s="29" t="s">
        <v>868</v>
      </c>
      <c r="B954" s="30">
        <v>42630382504.472183</v>
      </c>
      <c r="C954" s="30">
        <f t="shared" ref="C954" si="1369">B954-B953</f>
        <v>-236120311.32356262</v>
      </c>
      <c r="D954" s="32">
        <f t="shared" ref="D954" si="1370">(B954/B953)-1</f>
        <v>-5.5082709298261978E-3</v>
      </c>
      <c r="E954" s="37">
        <v>150000000</v>
      </c>
      <c r="F954" s="40" t="s">
        <v>182</v>
      </c>
      <c r="G954" s="29" t="s">
        <v>5</v>
      </c>
      <c r="H954"/>
    </row>
    <row r="955" spans="1:8" x14ac:dyDescent="0.3">
      <c r="A955" s="29" t="s">
        <v>869</v>
      </c>
      <c r="B955" s="30">
        <v>43242980248.578049</v>
      </c>
      <c r="C955" s="30">
        <f t="shared" ref="C955" si="1371">B955-B954</f>
        <v>612597744.10586548</v>
      </c>
      <c r="D955" s="32">
        <f t="shared" ref="D955" si="1372">(B955/B954)-1</f>
        <v>1.4369980002914673E-2</v>
      </c>
      <c r="E955" s="99"/>
      <c r="F955"/>
      <c r="G955"/>
      <c r="H955"/>
    </row>
    <row r="956" spans="1:8" x14ac:dyDescent="0.3">
      <c r="A956" s="29" t="s">
        <v>870</v>
      </c>
      <c r="B956" s="30">
        <v>44579146906.381294</v>
      </c>
      <c r="C956" s="30">
        <f t="shared" ref="C956" si="1373">B956-B955</f>
        <v>1336166657.8032455</v>
      </c>
      <c r="D956" s="32">
        <f t="shared" ref="D956" si="1374">(B956/B955)-1</f>
        <v>3.0899041881998546E-2</v>
      </c>
      <c r="E956" s="37">
        <v>150000000</v>
      </c>
      <c r="F956" s="40" t="s">
        <v>182</v>
      </c>
      <c r="G956" s="29" t="s">
        <v>6</v>
      </c>
      <c r="H956"/>
    </row>
    <row r="957" spans="1:8" x14ac:dyDescent="0.3">
      <c r="A957" s="29" t="s">
        <v>871</v>
      </c>
      <c r="B957" s="30">
        <v>44028123539.923233</v>
      </c>
      <c r="C957" s="30">
        <f t="shared" ref="C957" si="1375">B957-B956</f>
        <v>-551023366.45806122</v>
      </c>
      <c r="D957" s="32">
        <f t="shared" ref="D957" si="1376">(B957/B956)-1</f>
        <v>-1.2360563283439263E-2</v>
      </c>
      <c r="E957" s="99"/>
      <c r="F957"/>
      <c r="G957"/>
      <c r="H957"/>
    </row>
    <row r="958" spans="1:8" x14ac:dyDescent="0.3">
      <c r="A958" s="29" t="s">
        <v>872</v>
      </c>
      <c r="B958" s="30">
        <v>44803254137.354935</v>
      </c>
      <c r="C958" s="30">
        <f t="shared" ref="C958" si="1377">B958-B957</f>
        <v>775130597.43170166</v>
      </c>
      <c r="D958" s="32">
        <f t="shared" ref="D958" si="1378">(B958/B957)-1</f>
        <v>1.760535165049304E-2</v>
      </c>
      <c r="E958" s="99"/>
      <c r="F958"/>
      <c r="G958"/>
      <c r="H958"/>
    </row>
    <row r="959" spans="1:8" x14ac:dyDescent="0.3">
      <c r="A959" s="29" t="s">
        <v>873</v>
      </c>
      <c r="B959" s="30">
        <v>44639466835.340294</v>
      </c>
      <c r="C959" s="30">
        <f t="shared" ref="C959" si="1379">B959-B958</f>
        <v>-163787302.01464081</v>
      </c>
      <c r="D959" s="32">
        <f t="shared" ref="D959" si="1380">(B959/B958)-1</f>
        <v>-3.6557010236915044E-3</v>
      </c>
      <c r="E959" s="37">
        <v>100000000</v>
      </c>
      <c r="F959" s="40" t="s">
        <v>182</v>
      </c>
      <c r="G959" s="29" t="s">
        <v>5</v>
      </c>
    </row>
    <row r="960" spans="1:8" x14ac:dyDescent="0.3">
      <c r="A960" s="29" t="s">
        <v>874</v>
      </c>
      <c r="B960" s="30">
        <v>45265755201.742393</v>
      </c>
      <c r="C960" s="30">
        <f t="shared" ref="C960" si="1381">B960-B959</f>
        <v>626288366.40209961</v>
      </c>
      <c r="D960" s="32">
        <f t="shared" ref="D960" si="1382">(B960/B959)-1</f>
        <v>1.4029924880426092E-2</v>
      </c>
      <c r="E960" s="99"/>
      <c r="F960"/>
      <c r="G960"/>
    </row>
    <row r="961" spans="1:7" x14ac:dyDescent="0.3">
      <c r="A961" s="29" t="s">
        <v>875</v>
      </c>
      <c r="B961" s="30">
        <v>45412742915.031227</v>
      </c>
      <c r="C961" s="30">
        <f t="shared" ref="C961" si="1383">B961-B960</f>
        <v>146987713.28883362</v>
      </c>
      <c r="D961" s="32">
        <f t="shared" ref="D961" si="1384">(B961/B960)-1</f>
        <v>3.2472166350419052E-3</v>
      </c>
      <c r="E961" s="99"/>
      <c r="F961"/>
      <c r="G961"/>
    </row>
    <row r="962" spans="1:7" x14ac:dyDescent="0.3">
      <c r="A962" s="29" t="s">
        <v>876</v>
      </c>
      <c r="B962" s="30">
        <v>45423747457.877426</v>
      </c>
      <c r="C962" s="30">
        <f t="shared" ref="C962" si="1385">B962-B961</f>
        <v>11004542.846199036</v>
      </c>
      <c r="D962" s="32">
        <f t="shared" ref="D962" si="1386">(B962/B961)-1</f>
        <v>2.4232279619806896E-4</v>
      </c>
      <c r="E962" s="37">
        <v>300000000</v>
      </c>
      <c r="F962" s="40" t="s">
        <v>182</v>
      </c>
      <c r="G962" s="29" t="s">
        <v>6</v>
      </c>
    </row>
    <row r="963" spans="1:7" x14ac:dyDescent="0.3">
      <c r="A963" s="29" t="s">
        <v>877</v>
      </c>
      <c r="B963" s="30">
        <v>46090916669.18074</v>
      </c>
      <c r="C963" s="30">
        <f t="shared" ref="C963" si="1387">B963-B962</f>
        <v>667169211.30331421</v>
      </c>
      <c r="D963" s="32">
        <f t="shared" ref="D963" si="1388">(B963/B962)-1</f>
        <v>1.4687674369491255E-2</v>
      </c>
      <c r="E963" s="37">
        <v>450000000</v>
      </c>
      <c r="F963" s="40" t="s">
        <v>182</v>
      </c>
      <c r="G963" s="29" t="s">
        <v>878</v>
      </c>
    </row>
    <row r="964" spans="1:7" x14ac:dyDescent="0.3">
      <c r="A964" s="29" t="s">
        <v>879</v>
      </c>
      <c r="B964" s="30">
        <v>46191236363.200996</v>
      </c>
      <c r="C964" s="30">
        <f t="shared" ref="C964" si="1389">B964-B963</f>
        <v>100319694.02025604</v>
      </c>
      <c r="D964" s="32">
        <f t="shared" ref="D964" si="1390">(B964/B963)-1</f>
        <v>2.1765610508530653E-3</v>
      </c>
      <c r="E964" s="37">
        <v>450000000</v>
      </c>
      <c r="F964" s="40" t="s">
        <v>182</v>
      </c>
      <c r="G964" s="29" t="s">
        <v>5</v>
      </c>
    </row>
    <row r="965" spans="1:7" x14ac:dyDescent="0.3">
      <c r="A965" s="29" t="s">
        <v>880</v>
      </c>
      <c r="B965" s="30">
        <v>46203494108.567299</v>
      </c>
      <c r="C965" s="30">
        <f t="shared" ref="C965" si="1391">B965-B964</f>
        <v>12257745.36630249</v>
      </c>
      <c r="D965" s="32">
        <f t="shared" ref="D965" si="1392">(B965/B964)-1</f>
        <v>2.6536950147693084E-4</v>
      </c>
      <c r="E965" s="99"/>
      <c r="F965"/>
      <c r="G965"/>
    </row>
    <row r="966" spans="1:7" x14ac:dyDescent="0.3">
      <c r="A966" s="29" t="s">
        <v>881</v>
      </c>
      <c r="B966" s="30">
        <v>46293187012.071098</v>
      </c>
      <c r="C966" s="30">
        <f t="shared" ref="C966" si="1393">B966-B965</f>
        <v>89692903.503799438</v>
      </c>
      <c r="D966" s="32">
        <f t="shared" ref="D966" si="1394">(B966/B965)-1</f>
        <v>1.9412580202926577E-3</v>
      </c>
      <c r="E966" s="99"/>
      <c r="F966"/>
      <c r="G966"/>
    </row>
    <row r="967" spans="1:7" x14ac:dyDescent="0.3">
      <c r="A967" s="29" t="s">
        <v>882</v>
      </c>
      <c r="B967" s="30">
        <v>45962592649.772057</v>
      </c>
      <c r="C967" s="30">
        <f t="shared" ref="C967" si="1395">B967-B966</f>
        <v>-330594362.29904175</v>
      </c>
      <c r="D967" s="32">
        <f t="shared" ref="D967" si="1396">(B967/B966)-1</f>
        <v>-7.1413178404164945E-3</v>
      </c>
      <c r="E967" s="99"/>
      <c r="F967"/>
      <c r="G967"/>
    </row>
    <row r="968" spans="1:7" x14ac:dyDescent="0.3">
      <c r="A968" s="29" t="s">
        <v>883</v>
      </c>
      <c r="B968" s="30">
        <v>45461965086.911697</v>
      </c>
      <c r="C968" s="30">
        <f t="shared" ref="C968" si="1397">B968-B967</f>
        <v>-500627562.86035919</v>
      </c>
      <c r="D968" s="32">
        <f t="shared" ref="D968" si="1398">(B968/B967)-1</f>
        <v>-1.0892065351383984E-2</v>
      </c>
      <c r="E968" s="99"/>
      <c r="F968"/>
      <c r="G968"/>
    </row>
    <row r="969" spans="1:7" x14ac:dyDescent="0.3">
      <c r="A969" s="29" t="s">
        <v>884</v>
      </c>
      <c r="B969" s="30">
        <v>46306810636.8405</v>
      </c>
      <c r="C969" s="30">
        <f t="shared" ref="C969" si="1399">B969-B968</f>
        <v>844845549.92880249</v>
      </c>
      <c r="D969" s="32">
        <f t="shared" ref="D969" si="1400">(B969/B968)-1</f>
        <v>1.8583568666987293E-2</v>
      </c>
      <c r="E969" s="99"/>
      <c r="F969"/>
      <c r="G969"/>
    </row>
    <row r="970" spans="1:7" x14ac:dyDescent="0.3">
      <c r="A970" s="29" t="s">
        <v>885</v>
      </c>
      <c r="B970" s="30">
        <v>47466499324.706001</v>
      </c>
      <c r="C970" s="30">
        <f t="shared" ref="C970" si="1401">B970-B969</f>
        <v>1159688687.8655014</v>
      </c>
      <c r="D970" s="32">
        <f t="shared" ref="D970" si="1402">(B970/B969)-1</f>
        <v>2.5043588014737495E-2</v>
      </c>
      <c r="E970" s="99"/>
      <c r="F970"/>
      <c r="G970"/>
    </row>
    <row r="971" spans="1:7" x14ac:dyDescent="0.3">
      <c r="A971" s="29" t="s">
        <v>886</v>
      </c>
      <c r="B971" s="30">
        <v>47884968834.278038</v>
      </c>
      <c r="C971" s="30">
        <f t="shared" ref="C971" si="1403">B971-B970</f>
        <v>418469509.57203674</v>
      </c>
      <c r="D971" s="32">
        <f t="shared" ref="D971" si="1404">(B971/B970)-1</f>
        <v>8.8161022094634944E-3</v>
      </c>
      <c r="E971" s="37">
        <v>100000000</v>
      </c>
      <c r="F971" s="40" t="s">
        <v>182</v>
      </c>
      <c r="G971" s="29" t="s">
        <v>4</v>
      </c>
    </row>
    <row r="972" spans="1:7" x14ac:dyDescent="0.3">
      <c r="A972" s="29" t="s">
        <v>887</v>
      </c>
      <c r="B972" s="30">
        <v>48717678922.924774</v>
      </c>
      <c r="C972" s="30">
        <f t="shared" ref="C972" si="1405">B972-B971</f>
        <v>832710088.64673615</v>
      </c>
      <c r="D972" s="32">
        <f t="shared" ref="D972" si="1406">(B972/B971)-1</f>
        <v>1.7389801203141708E-2</v>
      </c>
      <c r="E972" s="37">
        <v>424000000</v>
      </c>
      <c r="F972" s="40" t="s">
        <v>182</v>
      </c>
      <c r="G972" s="29" t="s">
        <v>6</v>
      </c>
    </row>
    <row r="973" spans="1:7" x14ac:dyDescent="0.3">
      <c r="A973" s="29" t="s">
        <v>888</v>
      </c>
      <c r="B973" s="30">
        <v>48666543108.367203</v>
      </c>
      <c r="C973" s="30">
        <f t="shared" ref="C973" si="1407">B973-B972</f>
        <v>-51135814.557571411</v>
      </c>
      <c r="D973" s="32">
        <f t="shared" ref="D973" si="1408">(B973/B972)-1</f>
        <v>-1.049635690535955E-3</v>
      </c>
    </row>
    <row r="974" spans="1:7" x14ac:dyDescent="0.3">
      <c r="A974" s="29" t="s">
        <v>889</v>
      </c>
      <c r="B974" s="30">
        <v>48949301503.708504</v>
      </c>
      <c r="C974" s="30">
        <f t="shared" ref="C974" si="1409">B974-B973</f>
        <v>282758395.34130096</v>
      </c>
      <c r="D974" s="32">
        <f t="shared" ref="D974" si="1410">(B974/B973)-1</f>
        <v>5.8101187649937103E-3</v>
      </c>
    </row>
    <row r="975" spans="1:7" x14ac:dyDescent="0.3">
      <c r="A975" s="29" t="s">
        <v>1083</v>
      </c>
      <c r="B975" s="30">
        <v>49115240756.415802</v>
      </c>
      <c r="C975" s="30">
        <f t="shared" ref="C975" si="1411">B975-B974</f>
        <v>165939252.70729828</v>
      </c>
      <c r="D975" s="32">
        <f t="shared" ref="D975" si="1412">(B975/B974)-1</f>
        <v>3.3900228932730592E-3</v>
      </c>
    </row>
    <row r="976" spans="1:7" x14ac:dyDescent="0.3">
      <c r="A976" s="29" t="s">
        <v>1084</v>
      </c>
      <c r="B976" s="30">
        <v>49142403734.777802</v>
      </c>
      <c r="C976" s="30">
        <f t="shared" ref="C976" si="1413">B976-B975</f>
        <v>27162978.361999512</v>
      </c>
      <c r="D976" s="32">
        <f t="shared" ref="D976" si="1414">(B976/B975)-1</f>
        <v>5.5304581518211826E-4</v>
      </c>
    </row>
    <row r="977" spans="1:7" x14ac:dyDescent="0.3">
      <c r="A977" s="29" t="s">
        <v>1085</v>
      </c>
      <c r="B977" s="30">
        <v>49805126089.373802</v>
      </c>
      <c r="C977" s="30">
        <f t="shared" ref="C977:C983" si="1415">B977-B976</f>
        <v>662722354.59600067</v>
      </c>
      <c r="D977" s="32">
        <f t="shared" ref="D977" si="1416">(B977/B976)-1</f>
        <v>1.3485753732616068E-2</v>
      </c>
    </row>
    <row r="978" spans="1:7" x14ac:dyDescent="0.3">
      <c r="A978" s="29" t="s">
        <v>1086</v>
      </c>
      <c r="B978" s="30">
        <v>50616919137.157097</v>
      </c>
      <c r="C978" s="30">
        <f t="shared" si="1415"/>
        <v>811793047.78329468</v>
      </c>
      <c r="D978" s="32">
        <f t="shared" ref="D978" si="1417">(B978/B977)-1</f>
        <v>1.6299387463181159E-2</v>
      </c>
    </row>
    <row r="979" spans="1:7" x14ac:dyDescent="0.3">
      <c r="A979" s="29" t="s">
        <v>1087</v>
      </c>
      <c r="B979" s="30">
        <v>52213923734.094002</v>
      </c>
      <c r="C979" s="30">
        <f t="shared" si="1415"/>
        <v>1597004596.9369049</v>
      </c>
      <c r="D979" s="32">
        <f t="shared" ref="D979" si="1418">(B979/B978)-1</f>
        <v>3.1550806018230571E-2</v>
      </c>
      <c r="E979" s="37">
        <v>350000000</v>
      </c>
      <c r="F979" s="40" t="s">
        <v>182</v>
      </c>
      <c r="G979" s="29" t="s">
        <v>1088</v>
      </c>
    </row>
    <row r="980" spans="1:7" x14ac:dyDescent="0.3">
      <c r="A980" s="29" t="s">
        <v>1089</v>
      </c>
      <c r="B980" s="30">
        <v>52571567252.051201</v>
      </c>
      <c r="C980" s="30">
        <f t="shared" si="1415"/>
        <v>357643517.9571991</v>
      </c>
      <c r="D980" s="32">
        <f t="shared" ref="D980" si="1419">(B980/B979)-1</f>
        <v>6.8495813449789278E-3</v>
      </c>
    </row>
    <row r="981" spans="1:7" x14ac:dyDescent="0.3">
      <c r="A981" s="29" t="s">
        <v>1090</v>
      </c>
      <c r="B981" s="30">
        <v>53417247155.835251</v>
      </c>
      <c r="C981" s="30">
        <f t="shared" si="1415"/>
        <v>845679903.78404999</v>
      </c>
      <c r="D981" s="32">
        <f t="shared" ref="D981" si="1420">(B981/B980)-1</f>
        <v>1.6086260082935899E-2</v>
      </c>
    </row>
    <row r="982" spans="1:7" x14ac:dyDescent="0.3">
      <c r="A982" s="29" t="s">
        <v>1091</v>
      </c>
      <c r="B982" s="30">
        <v>53262237439.396599</v>
      </c>
      <c r="C982" s="30">
        <f t="shared" si="1415"/>
        <v>-155009716.43865204</v>
      </c>
      <c r="D982" s="32">
        <f t="shared" ref="D982" si="1421">(B982/B981)-1</f>
        <v>-2.9018664325107801E-3</v>
      </c>
    </row>
    <row r="983" spans="1:7" x14ac:dyDescent="0.3">
      <c r="A983" s="29" t="s">
        <v>1092</v>
      </c>
      <c r="B983" s="30">
        <v>52406358079.692703</v>
      </c>
      <c r="C983" s="30">
        <f t="shared" si="1415"/>
        <v>-855879359.70389557</v>
      </c>
      <c r="D983" s="32">
        <f t="shared" ref="D983" si="1422">(B983/B982)-1</f>
        <v>-1.6069158954836293E-2</v>
      </c>
    </row>
    <row r="984" spans="1:7" x14ac:dyDescent="0.3">
      <c r="A984" s="29" t="s">
        <v>1093</v>
      </c>
      <c r="B984" s="30">
        <v>53730887052.256798</v>
      </c>
      <c r="C984" s="30">
        <f t="shared" ref="C984" si="1423">B984-B983</f>
        <v>1324528972.5640945</v>
      </c>
      <c r="D984" s="32">
        <f t="shared" ref="D984" si="1424">(B984/B983)-1</f>
        <v>2.5274203762641223E-2</v>
      </c>
    </row>
    <row r="985" spans="1:7" x14ac:dyDescent="0.3">
      <c r="A985" s="29" t="s">
        <v>1094</v>
      </c>
      <c r="B985" s="30">
        <v>55201433198.733498</v>
      </c>
      <c r="C985" s="30">
        <f t="shared" ref="C985" si="1425">B985-B984</f>
        <v>1470546146.4766998</v>
      </c>
      <c r="D985" s="32">
        <f t="shared" ref="D985" si="1426">(B985/B984)-1</f>
        <v>2.736873011321217E-2</v>
      </c>
    </row>
    <row r="986" spans="1:7" x14ac:dyDescent="0.3">
      <c r="A986" s="29" t="s">
        <v>1095</v>
      </c>
      <c r="B986" s="30">
        <v>55370415414.678001</v>
      </c>
      <c r="C986" s="30">
        <f t="shared" ref="C986" si="1427">B986-B985</f>
        <v>168982215.94450378</v>
      </c>
      <c r="D986" s="32">
        <f t="shared" ref="D986" si="1428">(B986/B985)-1</f>
        <v>3.0611925479568924E-3</v>
      </c>
    </row>
    <row r="987" spans="1:7" x14ac:dyDescent="0.3">
      <c r="A987" s="29" t="s">
        <v>1096</v>
      </c>
      <c r="B987" s="30">
        <v>55559007182.072304</v>
      </c>
      <c r="C987" s="30">
        <f t="shared" ref="C987" si="1429">B987-B986</f>
        <v>188591767.39430237</v>
      </c>
      <c r="D987" s="32">
        <f t="shared" ref="D987" si="1430">(B987/B986)-1</f>
        <v>3.406002392828622E-3</v>
      </c>
    </row>
    <row r="988" spans="1:7" x14ac:dyDescent="0.3">
      <c r="A988" s="29" t="s">
        <v>1097</v>
      </c>
      <c r="B988" s="30">
        <v>54598572923.7323</v>
      </c>
      <c r="C988" s="30">
        <f t="shared" ref="C988" si="1431">B988-B987</f>
        <v>-960434258.34000397</v>
      </c>
      <c r="D988" s="32">
        <f t="shared" ref="D988" si="1432">(B988/B987)-1</f>
        <v>-1.7286742637293129E-2</v>
      </c>
    </row>
    <row r="989" spans="1:7" x14ac:dyDescent="0.3">
      <c r="A989" s="29" t="s">
        <v>1098</v>
      </c>
      <c r="B989" s="30">
        <v>56111318272.252296</v>
      </c>
      <c r="C989" s="30">
        <f t="shared" ref="C989" si="1433">B989-B988</f>
        <v>1512745348.5199966</v>
      </c>
      <c r="D989" s="32">
        <f t="shared" ref="D989" si="1434">(B989/B988)-1</f>
        <v>2.7706682931678772E-2</v>
      </c>
    </row>
    <row r="990" spans="1:7" x14ac:dyDescent="0.3">
      <c r="A990" s="29" t="s">
        <v>1099</v>
      </c>
      <c r="B990" s="30">
        <v>56457321984.4505</v>
      </c>
      <c r="C990" s="30">
        <f t="shared" ref="C990" si="1435">B990-B989</f>
        <v>346003712.19820404</v>
      </c>
      <c r="D990" s="32">
        <f t="shared" ref="D990" si="1436">(B990/B989)-1</f>
        <v>6.1663800254949663E-3</v>
      </c>
    </row>
    <row r="991" spans="1:7" x14ac:dyDescent="0.3">
      <c r="A991" s="29" t="s">
        <v>1100</v>
      </c>
      <c r="B991" s="30">
        <v>57018583673.804802</v>
      </c>
      <c r="C991" s="30">
        <f t="shared" ref="C991" si="1437">B991-B990</f>
        <v>561261689.35430145</v>
      </c>
      <c r="D991" s="32">
        <f t="shared" ref="D991" si="1438">(B991/B990)-1</f>
        <v>9.941344534706742E-3</v>
      </c>
      <c r="E991" s="37"/>
    </row>
    <row r="992" spans="1:7" x14ac:dyDescent="0.3">
      <c r="A992" s="29" t="s">
        <v>1101</v>
      </c>
      <c r="B992" s="30">
        <v>58362688081.571999</v>
      </c>
      <c r="C992" s="30">
        <f t="shared" ref="C992:C999" si="1439">B992-B991</f>
        <v>1344104407.7671967</v>
      </c>
      <c r="D992" s="32">
        <f t="shared" ref="D992" si="1440">(B992/B991)-1</f>
        <v>2.3573093562909708E-2</v>
      </c>
      <c r="E992" s="37">
        <v>800000000</v>
      </c>
      <c r="F992" s="40" t="s">
        <v>182</v>
      </c>
      <c r="G992" s="29" t="s">
        <v>1102</v>
      </c>
    </row>
    <row r="993" spans="1:4" x14ac:dyDescent="0.3">
      <c r="A993" s="29" t="s">
        <v>1103</v>
      </c>
      <c r="B993" s="30">
        <v>60403330957.659698</v>
      </c>
      <c r="C993" s="30">
        <f t="shared" si="1439"/>
        <v>2040642876.0876999</v>
      </c>
      <c r="D993" s="32">
        <f t="shared" ref="D993" si="1441">(B993/B992)-1</f>
        <v>3.4964854141665835E-2</v>
      </c>
    </row>
    <row r="994" spans="1:4" x14ac:dyDescent="0.3">
      <c r="A994" s="29" t="s">
        <v>1105</v>
      </c>
      <c r="B994" s="30">
        <v>61890219267.181</v>
      </c>
      <c r="C994" s="30">
        <f t="shared" si="1439"/>
        <v>1486888309.5213013</v>
      </c>
      <c r="D994" s="32">
        <f t="shared" ref="D994" si="1442">(B994/B993)-1</f>
        <v>2.4615998587288912E-2</v>
      </c>
    </row>
    <row r="995" spans="1:4" x14ac:dyDescent="0.3">
      <c r="A995" s="29" t="s">
        <v>1106</v>
      </c>
      <c r="B995" s="30">
        <v>64168803955.2733</v>
      </c>
      <c r="C995" s="30">
        <f t="shared" si="1439"/>
        <v>2278584688.0923004</v>
      </c>
      <c r="D995" s="32">
        <f t="shared" ref="D995" si="1443">(B995/B994)-1</f>
        <v>3.6816555427855446E-2</v>
      </c>
    </row>
    <row r="996" spans="1:4" x14ac:dyDescent="0.3">
      <c r="A996" s="29" t="s">
        <v>1107</v>
      </c>
      <c r="B996" s="30">
        <v>64382766160.478157</v>
      </c>
      <c r="C996" s="30">
        <f t="shared" ref="C996" si="1444">B996-B995</f>
        <v>213962205.20485687</v>
      </c>
      <c r="D996" s="32">
        <f t="shared" ref="D996" si="1445">(B996/B995)-1</f>
        <v>3.3343648629322598E-3</v>
      </c>
    </row>
    <row r="997" spans="1:4" x14ac:dyDescent="0.3">
      <c r="A997" s="29" t="s">
        <v>1108</v>
      </c>
      <c r="B997" s="30">
        <v>60914222717.793076</v>
      </c>
      <c r="C997" s="30">
        <f t="shared" si="1439"/>
        <v>-3468543442.6850815</v>
      </c>
      <c r="D997" s="32">
        <f t="shared" ref="D997" si="1446">(B997/B996)-1</f>
        <v>-5.3873787187700417E-2</v>
      </c>
    </row>
    <row r="998" spans="1:4" x14ac:dyDescent="0.3">
      <c r="A998" s="29" t="s">
        <v>1109</v>
      </c>
      <c r="B998" s="30">
        <v>62217235194.05452</v>
      </c>
      <c r="C998" s="30">
        <f t="shared" si="1439"/>
        <v>1303012476.2614441</v>
      </c>
      <c r="D998" s="32">
        <f t="shared" ref="D998" si="1447">(B998/B997)-1</f>
        <v>2.1390939884402993E-2</v>
      </c>
    </row>
    <row r="999" spans="1:4" x14ac:dyDescent="0.3">
      <c r="A999" s="29" t="s">
        <v>1110</v>
      </c>
      <c r="B999" s="30">
        <v>60832033738.356697</v>
      </c>
      <c r="C999" s="30">
        <f t="shared" si="1439"/>
        <v>-1385201455.6978226</v>
      </c>
      <c r="D999" s="32">
        <f t="shared" ref="D999" si="1448">(B999/B998)-1</f>
        <v>-2.226395067825504E-2</v>
      </c>
    </row>
    <row r="1000" spans="1:4" x14ac:dyDescent="0.3">
      <c r="A1000" s="29" t="s">
        <v>1111</v>
      </c>
      <c r="B1000" s="30">
        <v>61901130293.633598</v>
      </c>
      <c r="C1000" s="30">
        <f t="shared" ref="C1000" si="1449">B1000-B999</f>
        <v>1069096555.2769012</v>
      </c>
      <c r="D1000" s="32">
        <f t="shared" ref="D1000" si="1450">(B1000/B999)-1</f>
        <v>1.7574565398802422E-2</v>
      </c>
    </row>
    <row r="1001" spans="1:4" x14ac:dyDescent="0.3">
      <c r="A1001" s="29" t="s">
        <v>1112</v>
      </c>
      <c r="B1001" s="30">
        <v>64095488097.284599</v>
      </c>
      <c r="C1001" s="30">
        <f t="shared" ref="C1001" si="1451">B1001-B1000</f>
        <v>2194357803.651001</v>
      </c>
      <c r="D1001" s="32">
        <f t="shared" ref="D1001" si="1452">(B1001/B1000)-1</f>
        <v>3.5449397987433517E-2</v>
      </c>
    </row>
    <row r="1002" spans="1:4" x14ac:dyDescent="0.3">
      <c r="A1002" s="29" t="s">
        <v>1113</v>
      </c>
      <c r="B1002" s="30">
        <v>66215790386.673897</v>
      </c>
      <c r="C1002" s="30">
        <f t="shared" ref="C1002" si="1453">B1002-B1001</f>
        <v>2120302289.3892975</v>
      </c>
      <c r="D1002" s="32">
        <f t="shared" ref="D1002" si="1454">(B1002/B1001)-1</f>
        <v>3.3080367313391701E-2</v>
      </c>
    </row>
    <row r="1003" spans="1:4" x14ac:dyDescent="0.3">
      <c r="A1003" s="29" t="s">
        <v>1114</v>
      </c>
      <c r="B1003" s="30">
        <v>65233068866.681259</v>
      </c>
      <c r="C1003" s="30">
        <f t="shared" ref="C1003" si="1455">B1003-B1002</f>
        <v>-982721519.99263763</v>
      </c>
      <c r="D1003" s="32">
        <f t="shared" ref="D1003" si="1456">(B1003/B1002)-1</f>
        <v>-1.4841195948186003E-2</v>
      </c>
    </row>
    <row r="1004" spans="1:4" x14ac:dyDescent="0.3">
      <c r="A1004" s="29" t="s">
        <v>1115</v>
      </c>
      <c r="B1004" s="30">
        <v>61639307233.574059</v>
      </c>
      <c r="C1004" s="30">
        <f t="shared" ref="C1004" si="1457">B1004-B1003</f>
        <v>-3593761633.1072006</v>
      </c>
      <c r="D1004" s="32">
        <f t="shared" ref="D1004" si="1458">(B1004/B1003)-1</f>
        <v>-5.5091101730195713E-2</v>
      </c>
    </row>
    <row r="1005" spans="1:4" x14ac:dyDescent="0.3">
      <c r="A1005" s="29" t="s">
        <v>1116</v>
      </c>
      <c r="B1005" s="30">
        <v>63254486730.540878</v>
      </c>
      <c r="C1005" s="30">
        <f t="shared" ref="C1005:C1011" si="1459">B1005-B1004</f>
        <v>1615179496.9668198</v>
      </c>
      <c r="D1005" s="32">
        <f t="shared" ref="D1005:D1010" si="1460">(B1005/B1004)-1</f>
        <v>2.6203725665610023E-2</v>
      </c>
    </row>
    <row r="1006" spans="1:4" x14ac:dyDescent="0.3">
      <c r="A1006" s="29" t="s">
        <v>1117</v>
      </c>
      <c r="B1006" s="30">
        <v>63624449246.302193</v>
      </c>
      <c r="C1006" s="30">
        <f t="shared" si="1459"/>
        <v>369962515.76131439</v>
      </c>
      <c r="D1006" s="32">
        <f t="shared" si="1460"/>
        <v>5.8487948426066971E-3</v>
      </c>
    </row>
    <row r="1007" spans="1:4" x14ac:dyDescent="0.3">
      <c r="A1007" s="29" t="s">
        <v>1118</v>
      </c>
      <c r="B1007" s="30">
        <v>62963291790.159889</v>
      </c>
      <c r="C1007" s="30">
        <f t="shared" si="1459"/>
        <v>-661157456.14230347</v>
      </c>
      <c r="D1007" s="32">
        <f t="shared" si="1460"/>
        <v>-1.0391562740022176E-2</v>
      </c>
    </row>
    <row r="1008" spans="1:4" x14ac:dyDescent="0.3">
      <c r="A1008" s="29" t="s">
        <v>1119</v>
      </c>
      <c r="B1008" s="30">
        <v>62429308829.755859</v>
      </c>
      <c r="C1008" s="30">
        <f t="shared" si="1459"/>
        <v>-533982960.40402985</v>
      </c>
      <c r="D1008" s="32">
        <f t="shared" si="1460"/>
        <v>-8.4808615499909479E-3</v>
      </c>
    </row>
    <row r="1009" spans="1:7" x14ac:dyDescent="0.3">
      <c r="A1009" s="29" t="s">
        <v>1120</v>
      </c>
      <c r="B1009" s="30">
        <v>62479056963.057274</v>
      </c>
      <c r="C1009" s="30">
        <f t="shared" si="1459"/>
        <v>49748133.30141449</v>
      </c>
      <c r="D1009" s="32">
        <f t="shared" si="1460"/>
        <v>7.9687144121809439E-4</v>
      </c>
    </row>
    <row r="1010" spans="1:7" x14ac:dyDescent="0.3">
      <c r="A1010" s="29" t="s">
        <v>1121</v>
      </c>
      <c r="B1010" s="30">
        <v>63032187780.558678</v>
      </c>
      <c r="C1010" s="30">
        <f t="shared" si="1459"/>
        <v>553130817.50140381</v>
      </c>
      <c r="D1010" s="32">
        <f t="shared" si="1460"/>
        <v>8.8530596393037175E-3</v>
      </c>
    </row>
    <row r="1011" spans="1:7" x14ac:dyDescent="0.3">
      <c r="A1011" s="29" t="s">
        <v>1122</v>
      </c>
      <c r="B1011" s="30">
        <v>64037394658.544632</v>
      </c>
      <c r="C1011" s="30">
        <f t="shared" si="1459"/>
        <v>1005206877.9859543</v>
      </c>
      <c r="D1011" s="32">
        <f t="shared" ref="D1011" si="1461">(B1011/B1010)-1</f>
        <v>1.5947516870039369E-2</v>
      </c>
    </row>
    <row r="1012" spans="1:7" x14ac:dyDescent="0.3">
      <c r="A1012" s="29" t="s">
        <v>1123</v>
      </c>
      <c r="B1012" s="30">
        <v>66379436429.413696</v>
      </c>
      <c r="C1012" s="30">
        <f t="shared" ref="C1012" si="1462">B1012-B1011</f>
        <v>2342041770.8690643</v>
      </c>
      <c r="D1012" s="32">
        <f t="shared" ref="D1012" si="1463">(B1012/B1011)-1</f>
        <v>3.6573033355856044E-2</v>
      </c>
      <c r="E1012" s="37">
        <v>1200000000</v>
      </c>
      <c r="F1012" s="40" t="s">
        <v>182</v>
      </c>
      <c r="G1012" s="29" t="s">
        <v>1124</v>
      </c>
    </row>
    <row r="1013" spans="1:7" x14ac:dyDescent="0.3">
      <c r="A1013" s="29" t="s">
        <v>1126</v>
      </c>
      <c r="B1013" s="30">
        <v>67716691788.992996</v>
      </c>
      <c r="C1013" s="30">
        <f t="shared" ref="C1013" si="1464">B1013-B1012</f>
        <v>1337255359.5792999</v>
      </c>
      <c r="D1013" s="32">
        <f t="shared" ref="D1013" si="1465">(B1013/B1012)-1</f>
        <v>2.0145626891564516E-2</v>
      </c>
      <c r="E1013" s="37">
        <v>300000000</v>
      </c>
      <c r="F1013" s="40" t="s">
        <v>182</v>
      </c>
      <c r="G1013" s="29" t="s">
        <v>5</v>
      </c>
    </row>
    <row r="1014" spans="1:7" x14ac:dyDescent="0.3">
      <c r="A1014" s="49" t="s">
        <v>1127</v>
      </c>
      <c r="B1014" s="30">
        <v>67125613600.372086</v>
      </c>
      <c r="C1014" s="30">
        <f t="shared" ref="C1014" si="1466">B1014-B1013</f>
        <v>-591078188.62091064</v>
      </c>
      <c r="D1014" s="32">
        <f t="shared" ref="D1014" si="1467">(B1014/B1013)-1</f>
        <v>-8.7286926310978785E-3</v>
      </c>
    </row>
    <row r="1015" spans="1:7" x14ac:dyDescent="0.3">
      <c r="A1015" s="50" t="s">
        <v>1128</v>
      </c>
      <c r="B1015" s="30">
        <v>67802256239.249214</v>
      </c>
      <c r="C1015" s="30">
        <f t="shared" ref="C1015" si="1468">B1015-B1014</f>
        <v>676642638.8771286</v>
      </c>
      <c r="D1015" s="32">
        <f t="shared" ref="D1015" si="1469">(B1015/B1014)-1</f>
        <v>1.0080245119329145E-2</v>
      </c>
    </row>
    <row r="1016" spans="1:7" x14ac:dyDescent="0.3">
      <c r="A1016" s="51" t="s">
        <v>1129</v>
      </c>
      <c r="B1016" s="30">
        <v>69453141332.857742</v>
      </c>
      <c r="C1016" s="30">
        <f t="shared" ref="C1016" si="1470">B1016-B1015</f>
        <v>1650885093.6085281</v>
      </c>
      <c r="D1016" s="32">
        <f t="shared" ref="D1016" si="1471">(B1016/B1015)-1</f>
        <v>2.4348527396834241E-2</v>
      </c>
    </row>
    <row r="1017" spans="1:7" x14ac:dyDescent="0.3">
      <c r="A1017" s="52" t="s">
        <v>1130</v>
      </c>
      <c r="B1017" s="30">
        <v>70677271823.361526</v>
      </c>
      <c r="C1017" s="30">
        <f t="shared" ref="C1017" si="1472">B1017-B1016</f>
        <v>1224130490.5037842</v>
      </c>
      <c r="D1017" s="32">
        <f t="shared" ref="D1017" si="1473">(B1017/B1016)-1</f>
        <v>1.7625271758941352E-2</v>
      </c>
    </row>
    <row r="1018" spans="1:7" x14ac:dyDescent="0.3">
      <c r="A1018" s="53" t="s">
        <v>1131</v>
      </c>
      <c r="B1018" s="30">
        <v>69136595481.083908</v>
      </c>
      <c r="C1018" s="30">
        <f t="shared" ref="C1018" si="1474">B1018-B1017</f>
        <v>-1540676342.2776184</v>
      </c>
      <c r="D1018" s="32">
        <f t="shared" ref="D1018" si="1475">(B1018/B1017)-1</f>
        <v>-2.1798752307928826E-2</v>
      </c>
    </row>
    <row r="1019" spans="1:7" x14ac:dyDescent="0.3">
      <c r="A1019" s="54" t="s">
        <v>1132</v>
      </c>
      <c r="B1019" s="30">
        <v>67738055260.14257</v>
      </c>
      <c r="C1019" s="30">
        <f t="shared" ref="C1019" si="1476">B1019-B1018</f>
        <v>-1398540220.9413376</v>
      </c>
      <c r="D1019" s="32">
        <f t="shared" ref="D1019" si="1477">(B1019/B1018)-1</f>
        <v>-2.022865330885415E-2</v>
      </c>
    </row>
    <row r="1020" spans="1:7" x14ac:dyDescent="0.3">
      <c r="A1020" s="55" t="s">
        <v>1133</v>
      </c>
      <c r="B1020" s="30">
        <v>65344366722.233635</v>
      </c>
      <c r="C1020" s="30">
        <f t="shared" ref="C1020" si="1478">B1020-B1019</f>
        <v>-2393688537.9089355</v>
      </c>
      <c r="D1020" s="32">
        <f t="shared" ref="D1020" si="1479">(B1020/B1019)-1</f>
        <v>-3.5337426336143896E-2</v>
      </c>
    </row>
    <row r="1021" spans="1:7" x14ac:dyDescent="0.3">
      <c r="A1021" s="56" t="s">
        <v>1134</v>
      </c>
      <c r="B1021" s="30">
        <v>67039531613.394363</v>
      </c>
      <c r="C1021" s="30">
        <f t="shared" ref="C1021" si="1480">B1021-B1020</f>
        <v>1695164891.1607285</v>
      </c>
      <c r="D1021" s="32">
        <f t="shared" ref="D1021" si="1481">(B1021/B1020)-1</f>
        <v>2.5942020348388217E-2</v>
      </c>
    </row>
    <row r="1022" spans="1:7" x14ac:dyDescent="0.3">
      <c r="A1022" s="57" t="s">
        <v>1135</v>
      </c>
      <c r="B1022" s="30">
        <v>67459684847.467796</v>
      </c>
      <c r="C1022" s="30">
        <f t="shared" ref="C1022" si="1482">B1022-B1021</f>
        <v>420153234.07343292</v>
      </c>
      <c r="D1022" s="32">
        <f t="shared" ref="D1022" si="1483">(B1022/B1021)-1</f>
        <v>6.2672459661023971E-3</v>
      </c>
      <c r="E1022" s="37">
        <v>100000000</v>
      </c>
      <c r="F1022" s="46" t="s">
        <v>203</v>
      </c>
      <c r="G1022" s="29" t="s">
        <v>5</v>
      </c>
    </row>
    <row r="1023" spans="1:7" x14ac:dyDescent="0.3">
      <c r="A1023" s="58" t="s">
        <v>1136</v>
      </c>
      <c r="B1023" s="30">
        <v>68601369168.352425</v>
      </c>
      <c r="C1023" s="30">
        <f t="shared" ref="C1023" si="1484">B1023-B1022</f>
        <v>1141684320.8846283</v>
      </c>
      <c r="D1023" s="32">
        <f t="shared" ref="D1023" si="1485">(B1023/B1022)-1</f>
        <v>1.6923949814857231E-2</v>
      </c>
      <c r="E1023" s="37">
        <v>180000000</v>
      </c>
      <c r="F1023" s="46" t="s">
        <v>203</v>
      </c>
      <c r="G1023" s="29" t="s">
        <v>1137</v>
      </c>
    </row>
    <row r="1024" spans="1:7" x14ac:dyDescent="0.3">
      <c r="A1024" s="59" t="s">
        <v>1138</v>
      </c>
      <c r="B1024" s="30">
        <v>69043647527.858505</v>
      </c>
      <c r="C1024" s="30">
        <f t="shared" ref="C1024" si="1486">B1024-B1023</f>
        <v>442278359.50608063</v>
      </c>
      <c r="D1024" s="32">
        <f t="shared" ref="D1024" si="1487">(B1024/B1023)-1</f>
        <v>6.4470777313598848E-3</v>
      </c>
    </row>
    <row r="1025" spans="1:7" x14ac:dyDescent="0.3">
      <c r="A1025" s="60" t="s">
        <v>1139</v>
      </c>
      <c r="B1025" s="30">
        <v>69107998987.314377</v>
      </c>
      <c r="C1025" s="30">
        <f t="shared" ref="C1025" si="1488">B1025-B1024</f>
        <v>64351459.455871582</v>
      </c>
      <c r="D1025" s="32">
        <f t="shared" ref="D1025" si="1489">(B1025/B1024)-1</f>
        <v>9.3204026380422356E-4</v>
      </c>
    </row>
    <row r="1026" spans="1:7" x14ac:dyDescent="0.3">
      <c r="A1026" s="61" t="s">
        <v>1140</v>
      </c>
      <c r="B1026" s="30">
        <v>67705441986.300446</v>
      </c>
      <c r="C1026" s="30">
        <f t="shared" ref="C1026" si="1490">B1026-B1025</f>
        <v>-1402557001.0139313</v>
      </c>
      <c r="D1026" s="32">
        <f t="shared" ref="D1026" si="1491">(B1026/B1025)-1</f>
        <v>-2.0295147038932315E-2</v>
      </c>
    </row>
    <row r="1027" spans="1:7" x14ac:dyDescent="0.3">
      <c r="A1027" s="62" t="s">
        <v>1141</v>
      </c>
      <c r="B1027" s="30">
        <v>68246171931.489799</v>
      </c>
      <c r="C1027" s="30">
        <f t="shared" ref="C1027" si="1492">B1027-B1026</f>
        <v>540729945.18935394</v>
      </c>
      <c r="D1027" s="32">
        <f t="shared" ref="D1027" si="1493">(B1027/B1026)-1</f>
        <v>7.9865063918904688E-3</v>
      </c>
    </row>
    <row r="1028" spans="1:7" x14ac:dyDescent="0.3">
      <c r="A1028" s="63" t="s">
        <v>1142</v>
      </c>
      <c r="B1028" s="30">
        <v>67909216166.337723</v>
      </c>
      <c r="C1028" s="30">
        <f t="shared" ref="C1028" si="1494">B1028-B1027</f>
        <v>-336955765.15207672</v>
      </c>
      <c r="D1028" s="32">
        <f t="shared" ref="D1028" si="1495">(B1028/B1027)-1</f>
        <v>-4.9373577391320644E-3</v>
      </c>
    </row>
    <row r="1029" spans="1:7" x14ac:dyDescent="0.3">
      <c r="A1029" s="64" t="s">
        <v>1143</v>
      </c>
      <c r="B1029" s="30">
        <v>68024401753.520943</v>
      </c>
      <c r="C1029" s="30">
        <f t="shared" ref="C1029" si="1496">B1029-B1028</f>
        <v>115185587.18321991</v>
      </c>
      <c r="D1029" s="32">
        <f t="shared" ref="D1029" si="1497">(B1029/B1028)-1</f>
        <v>1.6961701766824433E-3</v>
      </c>
    </row>
    <row r="1030" spans="1:7" x14ac:dyDescent="0.3">
      <c r="A1030" s="65" t="s">
        <v>1144</v>
      </c>
      <c r="B1030" s="30">
        <v>69278374227.425598</v>
      </c>
      <c r="C1030" s="30">
        <f t="shared" ref="C1030" si="1498">B1030-B1029</f>
        <v>1253972473.9046555</v>
      </c>
      <c r="D1030" s="32">
        <f t="shared" ref="D1030" si="1499">(B1030/B1029)-1</f>
        <v>1.8434156590575901E-2</v>
      </c>
      <c r="E1030" s="37">
        <v>850000000</v>
      </c>
      <c r="F1030" s="40" t="s">
        <v>182</v>
      </c>
      <c r="G1030" s="29" t="s">
        <v>6</v>
      </c>
    </row>
    <row r="1031" spans="1:7" x14ac:dyDescent="0.3">
      <c r="A1031" s="66" t="s">
        <v>1145</v>
      </c>
      <c r="B1031" s="30">
        <v>69617300866.932495</v>
      </c>
      <c r="C1031" s="30">
        <f t="shared" ref="C1031" si="1500">B1031-B1030</f>
        <v>338926639.50689697</v>
      </c>
      <c r="D1031" s="32">
        <f t="shared" ref="D1031" si="1501">(B1031/B1030)-1</f>
        <v>4.892242973171923E-3</v>
      </c>
      <c r="E1031" s="37">
        <v>400000000</v>
      </c>
      <c r="F1031" s="40" t="s">
        <v>182</v>
      </c>
      <c r="G1031" s="29" t="s">
        <v>1146</v>
      </c>
    </row>
    <row r="1032" spans="1:7" x14ac:dyDescent="0.3">
      <c r="A1032" s="67" t="s">
        <v>1147</v>
      </c>
      <c r="B1032" s="30">
        <v>69648464724.299698</v>
      </c>
      <c r="C1032" s="30">
        <f t="shared" ref="C1032" si="1502">B1032-B1031</f>
        <v>31163857.367202759</v>
      </c>
      <c r="D1032" s="32">
        <f t="shared" ref="D1032" si="1503">(B1032/B1031)-1</f>
        <v>4.4764529763607896E-4</v>
      </c>
    </row>
    <row r="1033" spans="1:7" x14ac:dyDescent="0.3">
      <c r="A1033" s="68" t="s">
        <v>1148</v>
      </c>
      <c r="B1033" s="30">
        <v>69085901781.733536</v>
      </c>
      <c r="C1033" s="30">
        <f t="shared" ref="C1033" si="1504">B1033-B1032</f>
        <v>-562562942.56616211</v>
      </c>
      <c r="D1033" s="32">
        <f t="shared" ref="D1033" si="1505">(B1033/B1032)-1</f>
        <v>-8.0771765004877816E-3</v>
      </c>
    </row>
    <row r="1034" spans="1:7" x14ac:dyDescent="0.3">
      <c r="A1034" s="69" t="s">
        <v>1149</v>
      </c>
      <c r="B1034" s="30">
        <v>68524919388.417603</v>
      </c>
      <c r="C1034" s="30">
        <f t="shared" ref="C1034" si="1506">B1034-B1033</f>
        <v>-560982393.31593323</v>
      </c>
      <c r="D1034" s="32">
        <f t="shared" ref="D1034" si="1507">(B1034/B1033)-1</f>
        <v>-8.1200705042292487E-3</v>
      </c>
    </row>
    <row r="1035" spans="1:7" x14ac:dyDescent="0.3">
      <c r="A1035" s="70" t="s">
        <v>1150</v>
      </c>
      <c r="B1035" s="30">
        <v>68391045455.404816</v>
      </c>
      <c r="C1035" s="30">
        <f t="shared" ref="C1035" si="1508">B1035-B1034</f>
        <v>-133873933.01278687</v>
      </c>
      <c r="D1035" s="32">
        <f t="shared" ref="D1035" si="1509">(B1035/B1034)-1</f>
        <v>-1.95365327252639E-3</v>
      </c>
    </row>
    <row r="1036" spans="1:7" x14ac:dyDescent="0.3">
      <c r="A1036" s="71" t="s">
        <v>1151</v>
      </c>
      <c r="B1036" s="30">
        <v>70722941605.232086</v>
      </c>
      <c r="C1036" s="30">
        <f t="shared" ref="C1036:C1041" si="1510">B1036-B1035</f>
        <v>2331896149.8272705</v>
      </c>
      <c r="D1036" s="32">
        <f t="shared" ref="D1036:D1041" si="1511">(B1036/B1035)-1</f>
        <v>3.409651269840297E-2</v>
      </c>
      <c r="E1036" s="37">
        <v>1000000000</v>
      </c>
      <c r="F1036" s="40" t="s">
        <v>182</v>
      </c>
      <c r="G1036" s="74" t="s">
        <v>6</v>
      </c>
    </row>
    <row r="1037" spans="1:7" x14ac:dyDescent="0.3">
      <c r="A1037" s="72" t="s">
        <v>1152</v>
      </c>
      <c r="B1037" s="30">
        <v>73920435356.064819</v>
      </c>
      <c r="C1037" s="30">
        <f t="shared" si="1510"/>
        <v>3197493750.8327332</v>
      </c>
      <c r="D1037" s="32">
        <f t="shared" si="1511"/>
        <v>4.5211549155870889E-2</v>
      </c>
      <c r="E1037" s="37">
        <v>1000000000</v>
      </c>
      <c r="F1037" s="40" t="s">
        <v>182</v>
      </c>
      <c r="G1037" s="74" t="s">
        <v>6</v>
      </c>
    </row>
    <row r="1038" spans="1:7" x14ac:dyDescent="0.3">
      <c r="A1038" s="73" t="s">
        <v>1155</v>
      </c>
      <c r="B1038" s="30">
        <v>75564689302.312485</v>
      </c>
      <c r="C1038" s="30">
        <f t="shared" si="1510"/>
        <v>1644253946.2476654</v>
      </c>
      <c r="D1038" s="32">
        <f t="shared" si="1511"/>
        <v>2.2243564155534523E-2</v>
      </c>
      <c r="E1038" s="37">
        <v>1200000000</v>
      </c>
      <c r="F1038" s="40" t="s">
        <v>182</v>
      </c>
      <c r="G1038" s="74" t="s">
        <v>5</v>
      </c>
    </row>
    <row r="1039" spans="1:7" x14ac:dyDescent="0.3">
      <c r="A1039" s="74" t="s">
        <v>1156</v>
      </c>
      <c r="B1039" s="30">
        <v>74910227961.023605</v>
      </c>
      <c r="C1039" s="30">
        <f t="shared" si="1510"/>
        <v>-654461341.28887939</v>
      </c>
      <c r="D1039" s="32">
        <f t="shared" si="1511"/>
        <v>-8.6609413382296996E-3</v>
      </c>
      <c r="E1039" s="37">
        <v>500000000</v>
      </c>
      <c r="F1039" s="40" t="s">
        <v>182</v>
      </c>
      <c r="G1039" s="74" t="s">
        <v>3</v>
      </c>
    </row>
    <row r="1040" spans="1:7" x14ac:dyDescent="0.3">
      <c r="A1040" s="75" t="s">
        <v>1157</v>
      </c>
      <c r="B1040" s="30">
        <v>75673405156.12326</v>
      </c>
      <c r="C1040" s="30">
        <f t="shared" si="1510"/>
        <v>763177195.09965515</v>
      </c>
      <c r="D1040" s="32">
        <f t="shared" si="1511"/>
        <v>1.0187890437294289E-2</v>
      </c>
    </row>
    <row r="1041" spans="1:7" x14ac:dyDescent="0.3">
      <c r="A1041" s="76" t="s">
        <v>1158</v>
      </c>
      <c r="B1041" s="30">
        <v>76868461673.207779</v>
      </c>
      <c r="C1041" s="30">
        <f t="shared" si="1510"/>
        <v>1195056517.0845184</v>
      </c>
      <c r="D1041" s="32">
        <f t="shared" si="1511"/>
        <v>1.579229208225752E-2</v>
      </c>
      <c r="E1041" s="37">
        <v>300000000</v>
      </c>
      <c r="F1041" s="40" t="s">
        <v>182</v>
      </c>
      <c r="G1041" s="77" t="s">
        <v>1159</v>
      </c>
    </row>
    <row r="1042" spans="1:7" x14ac:dyDescent="0.3">
      <c r="A1042" s="78" t="s">
        <v>1160</v>
      </c>
      <c r="B1042" s="30">
        <v>77361449471.243546</v>
      </c>
      <c r="C1042" s="30">
        <f t="shared" ref="C1042" si="1512">B1042-B1041</f>
        <v>492987798.0357666</v>
      </c>
      <c r="D1042" s="32">
        <f t="shared" ref="D1042" si="1513">(B1042/B1041)-1</f>
        <v>6.4133948735909385E-3</v>
      </c>
    </row>
    <row r="1043" spans="1:7" x14ac:dyDescent="0.3">
      <c r="A1043" s="79" t="s">
        <v>1161</v>
      </c>
      <c r="B1043" s="30">
        <v>78723766661.588943</v>
      </c>
      <c r="C1043" s="30">
        <f t="shared" ref="C1043" si="1514">B1043-B1042</f>
        <v>1362317190.3453979</v>
      </c>
      <c r="D1043" s="32">
        <f t="shared" ref="D1043" si="1515">(B1043/B1042)-1</f>
        <v>1.760976816821147E-2</v>
      </c>
    </row>
    <row r="1044" spans="1:7" x14ac:dyDescent="0.3">
      <c r="A1044" s="80" t="s">
        <v>1162</v>
      </c>
      <c r="B1044" s="30">
        <v>82224032081.481201</v>
      </c>
      <c r="C1044" s="30">
        <f t="shared" ref="C1044" si="1516">B1044-B1043</f>
        <v>3500265419.8922577</v>
      </c>
      <c r="D1044" s="32">
        <f t="shared" ref="D1044" si="1517">(B1044/B1043)-1</f>
        <v>4.4462626324003329E-2</v>
      </c>
      <c r="E1044" s="37">
        <v>500000000</v>
      </c>
      <c r="F1044" s="40" t="s">
        <v>182</v>
      </c>
      <c r="G1044" s="29" t="s">
        <v>4</v>
      </c>
    </row>
    <row r="1045" spans="1:7" x14ac:dyDescent="0.3">
      <c r="A1045" s="81" t="s">
        <v>1163</v>
      </c>
      <c r="B1045" s="30">
        <v>82518393421.029999</v>
      </c>
      <c r="C1045" s="30">
        <f t="shared" ref="C1045" si="1518">B1045-B1044</f>
        <v>294361339.54879761</v>
      </c>
      <c r="D1045" s="32">
        <f t="shared" ref="D1045" si="1519">(B1045/B1044)-1</f>
        <v>3.57999154379951E-3</v>
      </c>
    </row>
    <row r="1046" spans="1:7" x14ac:dyDescent="0.3">
      <c r="A1046" s="82" t="s">
        <v>1164</v>
      </c>
      <c r="B1046" s="30">
        <v>83182833693.590759</v>
      </c>
      <c r="C1046" s="30">
        <f t="shared" ref="C1046" si="1520">B1046-B1045</f>
        <v>664440272.5607605</v>
      </c>
      <c r="D1046" s="32">
        <f t="shared" ref="D1046" si="1521">(B1046/B1045)-1</f>
        <v>8.0520262818328803E-3</v>
      </c>
    </row>
    <row r="1047" spans="1:7" x14ac:dyDescent="0.3">
      <c r="A1047" s="83" t="s">
        <v>1165</v>
      </c>
      <c r="B1047" s="30">
        <v>82538992527.304001</v>
      </c>
      <c r="C1047" s="30">
        <f t="shared" ref="C1047" si="1522">B1047-B1046</f>
        <v>-643841166.28675842</v>
      </c>
      <c r="D1047" s="32">
        <f t="shared" ref="D1047" si="1523">(B1047/B1046)-1</f>
        <v>-7.7400725329745956E-3</v>
      </c>
    </row>
    <row r="1048" spans="1:7" x14ac:dyDescent="0.3">
      <c r="A1048" s="84" t="s">
        <v>1166</v>
      </c>
      <c r="B1048" s="30">
        <v>86726999230.183289</v>
      </c>
      <c r="C1048" s="30">
        <f t="shared" ref="C1048" si="1524">B1048-B1047</f>
        <v>4188006702.8792877</v>
      </c>
      <c r="D1048" s="32">
        <f t="shared" ref="D1048" si="1525">(B1048/B1047)-1</f>
        <v>5.0739736149479686E-2</v>
      </c>
    </row>
    <row r="1049" spans="1:7" x14ac:dyDescent="0.3">
      <c r="A1049" s="85" t="s">
        <v>1167</v>
      </c>
      <c r="B1049" s="30">
        <v>85542837812.010956</v>
      </c>
      <c r="C1049" s="30">
        <f t="shared" ref="C1049" si="1526">B1049-B1048</f>
        <v>-1184161418.1723328</v>
      </c>
      <c r="D1049" s="32">
        <f t="shared" ref="D1049" si="1527">(B1049/B1048)-1</f>
        <v>-1.3653895888054768E-2</v>
      </c>
    </row>
    <row r="1050" spans="1:7" x14ac:dyDescent="0.3">
      <c r="A1050" s="87" t="s">
        <v>1168</v>
      </c>
      <c r="B1050" s="30">
        <v>85866568572.92485</v>
      </c>
      <c r="C1050" s="30">
        <f t="shared" ref="C1050" si="1528">B1050-B1049</f>
        <v>323730760.91389465</v>
      </c>
      <c r="D1050" s="32">
        <f t="shared" ref="D1050" si="1529">(B1050/B1049)-1</f>
        <v>3.7844285879937711E-3</v>
      </c>
    </row>
    <row r="1051" spans="1:7" x14ac:dyDescent="0.3">
      <c r="A1051" s="88" t="s">
        <v>1169</v>
      </c>
      <c r="B1051" s="30">
        <v>86297426427.47113</v>
      </c>
      <c r="C1051" s="30">
        <f t="shared" ref="C1051" si="1530">B1051-B1050</f>
        <v>430857854.54627991</v>
      </c>
      <c r="D1051" s="32">
        <f t="shared" ref="D1051" si="1531">(B1051/B1050)-1</f>
        <v>5.0177602495009577E-3</v>
      </c>
    </row>
    <row r="1052" spans="1:7" x14ac:dyDescent="0.3">
      <c r="A1052" s="89" t="s">
        <v>1170</v>
      </c>
      <c r="B1052" s="30">
        <v>84280111817.642929</v>
      </c>
      <c r="C1052" s="30">
        <f t="shared" ref="C1052" si="1532">B1052-B1051</f>
        <v>-2017314609.8282013</v>
      </c>
      <c r="D1052" s="32">
        <f t="shared" ref="D1052" si="1533">(B1052/B1051)-1</f>
        <v>-2.3376300932029026E-2</v>
      </c>
    </row>
    <row r="1053" spans="1:7" x14ac:dyDescent="0.3">
      <c r="A1053" s="90" t="s">
        <v>1171</v>
      </c>
      <c r="B1053" s="30">
        <v>84549263318.4608</v>
      </c>
      <c r="C1053" s="30">
        <f t="shared" ref="C1053" si="1534">B1053-B1052</f>
        <v>269151500.81787109</v>
      </c>
      <c r="D1053" s="32">
        <f t="shared" ref="D1053" si="1535">(B1053/B1052)-1</f>
        <v>3.1935351652148114E-3</v>
      </c>
    </row>
    <row r="1054" spans="1:7" x14ac:dyDescent="0.3">
      <c r="A1054" s="92" t="s">
        <v>1172</v>
      </c>
      <c r="B1054" s="30">
        <v>84131485266.071808</v>
      </c>
      <c r="C1054" s="30">
        <f t="shared" ref="C1054" si="1536">B1054-B1053</f>
        <v>-417778052.38899231</v>
      </c>
      <c r="D1054" s="32">
        <f t="shared" ref="D1054" si="1537">(B1054/B1053)-1</f>
        <v>-4.9412382319098391E-3</v>
      </c>
    </row>
    <row r="1055" spans="1:7" x14ac:dyDescent="0.3">
      <c r="A1055" s="93" t="s">
        <v>1173</v>
      </c>
      <c r="B1055" s="30">
        <v>83199833371.849213</v>
      </c>
      <c r="C1055" s="30">
        <f t="shared" ref="C1055" si="1538">B1055-B1054</f>
        <v>-931651894.22259521</v>
      </c>
      <c r="D1055" s="32">
        <f t="shared" ref="D1055" si="1539">(B1055/B1054)-1</f>
        <v>-1.1073760213268335E-2</v>
      </c>
    </row>
    <row r="1056" spans="1:7" x14ac:dyDescent="0.3">
      <c r="A1056" s="94" t="s">
        <v>1174</v>
      </c>
      <c r="B1056" s="30">
        <v>85307788243.533401</v>
      </c>
      <c r="C1056" s="30">
        <f t="shared" ref="C1056" si="1540">B1056-B1055</f>
        <v>2107954871.6841888</v>
      </c>
      <c r="D1056" s="32">
        <f t="shared" ref="D1056" si="1541">(B1056/B1055)-1</f>
        <v>2.5336046795466416E-2</v>
      </c>
    </row>
    <row r="1057" spans="1:7" x14ac:dyDescent="0.3">
      <c r="A1057" s="95" t="s">
        <v>1175</v>
      </c>
      <c r="B1057" s="30">
        <v>84858477430.469009</v>
      </c>
      <c r="C1057" s="30">
        <f t="shared" ref="C1057" si="1542">B1057-B1056</f>
        <v>-449310813.06439209</v>
      </c>
      <c r="D1057" s="32">
        <f t="shared" ref="D1057" si="1543">(B1057/B1056)-1</f>
        <v>-5.266937782769765E-3</v>
      </c>
    </row>
    <row r="1058" spans="1:7" x14ac:dyDescent="0.3">
      <c r="A1058" s="96" t="s">
        <v>1176</v>
      </c>
      <c r="B1058" s="30">
        <v>82850446291.263031</v>
      </c>
      <c r="C1058" s="30">
        <f t="shared" ref="C1058" si="1544">B1058-B1057</f>
        <v>-2008031139.2059784</v>
      </c>
      <c r="D1058" s="32">
        <f t="shared" ref="D1058" si="1545">(B1058/B1057)-1</f>
        <v>-2.3663294464024709E-2</v>
      </c>
    </row>
    <row r="1059" spans="1:7" x14ac:dyDescent="0.3">
      <c r="A1059" s="97" t="s">
        <v>1177</v>
      </c>
      <c r="B1059" s="30">
        <v>81978880197.368362</v>
      </c>
      <c r="C1059" s="30">
        <f t="shared" ref="C1059" si="1546">B1059-B1058</f>
        <v>-871566093.89466858</v>
      </c>
      <c r="D1059" s="32">
        <f t="shared" ref="D1059" si="1547">(B1059/B1058)-1</f>
        <v>-1.0519751346065864E-2</v>
      </c>
      <c r="E1059" s="37">
        <v>71000000</v>
      </c>
      <c r="F1059" s="46" t="s">
        <v>203</v>
      </c>
      <c r="G1059" s="29" t="s">
        <v>5</v>
      </c>
    </row>
    <row r="1060" spans="1:7" x14ac:dyDescent="0.3">
      <c r="A1060" s="98" t="s">
        <v>1178</v>
      </c>
      <c r="B1060" s="30">
        <v>82936551718.79216</v>
      </c>
      <c r="C1060" s="30">
        <f t="shared" ref="C1060" si="1548">B1060-B1059</f>
        <v>957671521.42379761</v>
      </c>
      <c r="D1060" s="32">
        <f t="shared" ref="D1060" si="1549">(B1060/B1059)-1</f>
        <v>1.1681929774085109E-2</v>
      </c>
      <c r="E1060" s="37">
        <v>150000000</v>
      </c>
      <c r="F1060" s="40" t="s">
        <v>182</v>
      </c>
      <c r="G1060" s="29" t="s">
        <v>6</v>
      </c>
    </row>
    <row r="1061" spans="1:7" x14ac:dyDescent="0.3">
      <c r="A1061" s="100" t="s">
        <v>1179</v>
      </c>
      <c r="B1061" s="30">
        <v>83315917092.352463</v>
      </c>
      <c r="C1061" s="30">
        <f t="shared" ref="C1061" si="1550">B1061-B1060</f>
        <v>379365373.56030273</v>
      </c>
      <c r="D1061" s="32">
        <f t="shared" ref="D1061" si="1551">(B1061/B1060)-1</f>
        <v>4.5741638119534134E-3</v>
      </c>
    </row>
    <row r="1062" spans="1:7" x14ac:dyDescent="0.3">
      <c r="A1062" s="101" t="s">
        <v>1180</v>
      </c>
      <c r="B1062" s="30">
        <v>85288431814.104919</v>
      </c>
      <c r="C1062" s="30">
        <f t="shared" ref="C1062" si="1552">B1062-B1061</f>
        <v>1972514721.7524567</v>
      </c>
      <c r="D1062" s="32">
        <f t="shared" ref="D1062" si="1553">(B1062/B1061)-1</f>
        <v>2.3675124641141521E-2</v>
      </c>
    </row>
    <row r="1063" spans="1:7" x14ac:dyDescent="0.3">
      <c r="A1063" s="102" t="s">
        <v>1181</v>
      </c>
      <c r="B1063" s="30">
        <v>85501977396.894287</v>
      </c>
      <c r="C1063" s="30">
        <f t="shared" ref="C1063" si="1554">B1063-B1062</f>
        <v>213545582.78936768</v>
      </c>
      <c r="D1063" s="32">
        <f t="shared" ref="D1063" si="1555">(B1063/B1062)-1</f>
        <v>2.50380477454204E-3</v>
      </c>
    </row>
    <row r="1064" spans="1:7" x14ac:dyDescent="0.3">
      <c r="A1064" s="103" t="s">
        <v>1182</v>
      </c>
      <c r="B1064" s="30">
        <v>87509323164.648682</v>
      </c>
      <c r="C1064" s="30">
        <f t="shared" ref="C1064" si="1556">B1064-B1063</f>
        <v>2007345767.7543945</v>
      </c>
      <c r="D1064" s="32">
        <f t="shared" ref="D1064" si="1557">(B1064/B1063)-1</f>
        <v>2.3477185310421866E-2</v>
      </c>
      <c r="E1064" s="37">
        <v>450000000</v>
      </c>
      <c r="F1064" s="40" t="s">
        <v>182</v>
      </c>
      <c r="G1064" s="104" t="s">
        <v>3</v>
      </c>
    </row>
    <row r="1065" spans="1:7" x14ac:dyDescent="0.3">
      <c r="A1065" s="104" t="s">
        <v>1183</v>
      </c>
      <c r="B1065" s="30">
        <v>89295911243.425797</v>
      </c>
      <c r="C1065" s="30">
        <f t="shared" ref="C1065" si="1558">B1065-B1064</f>
        <v>1786588078.7771149</v>
      </c>
      <c r="D1065" s="32">
        <f t="shared" ref="D1065" si="1559">(B1065/B1064)-1</f>
        <v>2.0415974140442827E-2</v>
      </c>
    </row>
    <row r="1066" spans="1:7" x14ac:dyDescent="0.3">
      <c r="A1066" s="105" t="s">
        <v>1184</v>
      </c>
      <c r="B1066" s="30">
        <v>89385851222.068253</v>
      </c>
      <c r="C1066" s="30">
        <f t="shared" ref="C1066" si="1560">B1066-B1065</f>
        <v>89939978.642456055</v>
      </c>
      <c r="D1066" s="32">
        <f t="shared" ref="D1066" si="1561">(B1066/B1065)-1</f>
        <v>1.0072127311324675E-3</v>
      </c>
    </row>
    <row r="1067" spans="1:7" x14ac:dyDescent="0.3">
      <c r="A1067" s="107" t="s">
        <v>1185</v>
      </c>
      <c r="B1067" s="30">
        <v>89075064593.992203</v>
      </c>
      <c r="C1067" s="30">
        <f t="shared" ref="C1067" si="1562">B1067-B1066</f>
        <v>-310786628.0760498</v>
      </c>
      <c r="D1067" s="32">
        <f t="shared" ref="D1067" si="1563">(B1067/B1066)-1</f>
        <v>-3.4769107619050388E-3</v>
      </c>
      <c r="E1067" s="37">
        <v>1200000000</v>
      </c>
      <c r="F1067" s="40" t="s">
        <v>182</v>
      </c>
      <c r="G1067" s="107" t="s">
        <v>1186</v>
      </c>
    </row>
    <row r="1068" spans="1:7" x14ac:dyDescent="0.3">
      <c r="A1068" s="108" t="s">
        <v>1187</v>
      </c>
      <c r="B1068" s="30">
        <v>88451663599.227036</v>
      </c>
      <c r="C1068" s="30">
        <f t="shared" ref="C1068" si="1564">B1068-B1067</f>
        <v>-623400994.76516724</v>
      </c>
      <c r="D1068" s="32">
        <f t="shared" ref="D1068" si="1565">(B1068/B1067)-1</f>
        <v>-6.9986027807743545E-3</v>
      </c>
    </row>
    <row r="1069" spans="1:7" x14ac:dyDescent="0.3">
      <c r="A1069" s="109" t="s">
        <v>1188</v>
      </c>
      <c r="B1069" s="30">
        <v>88617714719.738022</v>
      </c>
      <c r="C1069" s="30">
        <f t="shared" ref="C1069" si="1566">B1069-B1068</f>
        <v>166051120.51098633</v>
      </c>
      <c r="D1069" s="32">
        <f t="shared" ref="D1069" si="1567">(B1069/B1068)-1</f>
        <v>1.8773091850863288E-3</v>
      </c>
    </row>
    <row r="1070" spans="1:7" x14ac:dyDescent="0.3">
      <c r="A1070" s="110" t="s">
        <v>1189</v>
      </c>
      <c r="B1070" s="30">
        <v>89683714775.207001</v>
      </c>
      <c r="C1070" s="30">
        <f t="shared" ref="C1070" si="1568">B1070-B1069</f>
        <v>1066000055.4689789</v>
      </c>
      <c r="D1070" s="32">
        <f t="shared" ref="D1070" si="1569">(B1070/B1069)-1</f>
        <v>1.2029198212121672E-2</v>
      </c>
    </row>
    <row r="1071" spans="1:7" x14ac:dyDescent="0.3">
      <c r="A1071" s="111" t="s">
        <v>1190</v>
      </c>
      <c r="B1071" s="30">
        <v>91161506660.972168</v>
      </c>
      <c r="C1071" s="30">
        <f t="shared" ref="C1071" si="1570">B1071-B1070</f>
        <v>1477791885.7651672</v>
      </c>
      <c r="D1071" s="32">
        <f t="shared" ref="D1071" si="1571">(B1071/B1070)-1</f>
        <v>1.6477817510896609E-2</v>
      </c>
    </row>
    <row r="1072" spans="1:7" x14ac:dyDescent="0.3">
      <c r="A1072" s="112" t="s">
        <v>1191</v>
      </c>
      <c r="B1072" s="30">
        <v>91301854953.65123</v>
      </c>
      <c r="C1072" s="30">
        <f t="shared" ref="C1072" si="1572">B1072-B1071</f>
        <v>140348292.67906189</v>
      </c>
      <c r="D1072" s="32">
        <f t="shared" ref="D1072" si="1573">(B1072/B1071)-1</f>
        <v>1.5395565279654466E-3</v>
      </c>
    </row>
    <row r="1073" spans="1:7" x14ac:dyDescent="0.3">
      <c r="A1073" s="113" t="s">
        <v>1192</v>
      </c>
      <c r="B1073" s="30">
        <v>91527352002.902786</v>
      </c>
      <c r="C1073" s="30">
        <f t="shared" ref="C1073" si="1574">B1073-B1072</f>
        <v>225497049.2515564</v>
      </c>
      <c r="D1073" s="32">
        <f t="shared" ref="D1073" si="1575">(B1073/B1072)-1</f>
        <v>2.4697970196336794E-3</v>
      </c>
    </row>
    <row r="1074" spans="1:7" x14ac:dyDescent="0.3">
      <c r="A1074" s="114" t="s">
        <v>1193</v>
      </c>
      <c r="B1074" s="30">
        <v>93197961303.888504</v>
      </c>
      <c r="C1074" s="30">
        <f t="shared" ref="C1074" si="1576">B1074-B1073</f>
        <v>1670609300.9857178</v>
      </c>
      <c r="D1074" s="32">
        <f t="shared" ref="D1074" si="1577">(B1074/B1073)-1</f>
        <v>1.8252568925327672E-2</v>
      </c>
    </row>
    <row r="1075" spans="1:7" x14ac:dyDescent="0.3">
      <c r="A1075" s="115" t="s">
        <v>1195</v>
      </c>
      <c r="B1075" s="30">
        <v>91270621844.379013</v>
      </c>
      <c r="C1075" s="30">
        <f t="shared" ref="C1075" si="1578">B1075-B1074</f>
        <v>-1927339459.509491</v>
      </c>
      <c r="D1075" s="32">
        <f t="shared" ref="D1075" si="1579">(B1075/B1074)-1</f>
        <v>-2.0680060299012926E-2</v>
      </c>
      <c r="E1075" s="37">
        <v>500000000</v>
      </c>
      <c r="F1075" s="40" t="s">
        <v>182</v>
      </c>
      <c r="G1075" s="116" t="s">
        <v>6</v>
      </c>
    </row>
    <row r="1076" spans="1:7" x14ac:dyDescent="0.3">
      <c r="A1076" s="117" t="s">
        <v>1196</v>
      </c>
      <c r="B1076" s="30">
        <v>91135081491.298492</v>
      </c>
      <c r="C1076" s="30">
        <f t="shared" ref="C1076" si="1580">B1076-B1075</f>
        <v>-135540353.08052063</v>
      </c>
      <c r="D1076" s="32">
        <f t="shared" ref="D1076" si="1581">(B1076/B1075)-1</f>
        <v>-1.4850381244430055E-3</v>
      </c>
    </row>
    <row r="1077" spans="1:7" x14ac:dyDescent="0.3">
      <c r="A1077" s="118" t="s">
        <v>1197</v>
      </c>
      <c r="B1077" s="30">
        <v>91723947750.604507</v>
      </c>
      <c r="C1077" s="30">
        <f t="shared" ref="C1077" si="1582">B1077-B1076</f>
        <v>588866259.30601501</v>
      </c>
      <c r="D1077" s="32">
        <f t="shared" ref="D1077" si="1583">(B1077/B1076)-1</f>
        <v>6.4614663164836994E-3</v>
      </c>
    </row>
    <row r="1078" spans="1:7" x14ac:dyDescent="0.3">
      <c r="A1078" s="119" t="s">
        <v>1198</v>
      </c>
      <c r="B1078" s="30">
        <v>91943325665.380707</v>
      </c>
      <c r="C1078" s="30">
        <f t="shared" ref="C1078" si="1584">B1078-B1077</f>
        <v>219377914.77619934</v>
      </c>
      <c r="D1078" s="32">
        <f t="shared" ref="D1078" si="1585">(B1078/B1077)-1</f>
        <v>2.3917190674422883E-3</v>
      </c>
    </row>
    <row r="1079" spans="1:7" x14ac:dyDescent="0.3">
      <c r="A1079" s="120" t="s">
        <v>1199</v>
      </c>
      <c r="B1079" s="30">
        <v>91955948212.785889</v>
      </c>
      <c r="C1079" s="30">
        <f t="shared" ref="C1079" si="1586">B1079-B1078</f>
        <v>12622547.405181885</v>
      </c>
      <c r="D1079" s="32">
        <f t="shared" ref="D1079" si="1587">(B1079/B1078)-1</f>
        <v>1.3728617399721976E-4</v>
      </c>
    </row>
    <row r="1080" spans="1:7" x14ac:dyDescent="0.3">
      <c r="A1080" s="122" t="s">
        <v>1202</v>
      </c>
      <c r="B1080" s="30">
        <v>91197168820.701645</v>
      </c>
      <c r="C1080" s="30">
        <f t="shared" ref="C1080" si="1588">B1080-B1079</f>
        <v>-758779392.08424377</v>
      </c>
      <c r="D1080" s="32">
        <f t="shared" ref="D1080" si="1589">(B1080/B1079)-1</f>
        <v>-8.2515531276827758E-3</v>
      </c>
    </row>
    <row r="1081" spans="1:7" x14ac:dyDescent="0.3">
      <c r="A1081" s="123" t="s">
        <v>1201</v>
      </c>
      <c r="B1081" s="30">
        <v>92148327156.735001</v>
      </c>
      <c r="C1081" s="30">
        <f t="shared" ref="C1081" si="1590">B1081-B1080</f>
        <v>951158336.03335571</v>
      </c>
      <c r="D1081" s="32">
        <f t="shared" ref="D1081" si="1591">(B1081/B1080)-1</f>
        <v>1.0429691495175586E-2</v>
      </c>
    </row>
    <row r="1082" spans="1:7" x14ac:dyDescent="0.3">
      <c r="A1082" s="124" t="s">
        <v>1203</v>
      </c>
      <c r="B1082" s="30">
        <v>93069653540.917328</v>
      </c>
      <c r="C1082" s="30">
        <f t="shared" ref="C1082" si="1592">B1082-B1081</f>
        <v>921326384.18232727</v>
      </c>
      <c r="D1082" s="32">
        <f t="shared" ref="D1082" si="1593">(B1082/B1081)-1</f>
        <v>9.9982974472803132E-3</v>
      </c>
    </row>
    <row r="1083" spans="1:7" x14ac:dyDescent="0.3">
      <c r="A1083" s="125" t="s">
        <v>1204</v>
      </c>
      <c r="B1083" s="30">
        <v>95598117185.134094</v>
      </c>
      <c r="C1083" s="30">
        <f t="shared" ref="C1083" si="1594">B1083-B1082</f>
        <v>2528463644.2167664</v>
      </c>
      <c r="D1083" s="32">
        <f t="shared" ref="D1083" si="1595">(B1083/B1082)-1</f>
        <v>2.7167433723229051E-2</v>
      </c>
    </row>
    <row r="1084" spans="1:7" x14ac:dyDescent="0.3">
      <c r="A1084" s="126" t="s">
        <v>1206</v>
      </c>
      <c r="B1084" s="30">
        <v>96949245011.614914</v>
      </c>
      <c r="C1084" s="30">
        <f t="shared" ref="C1084" si="1596">B1084-B1083</f>
        <v>1351127826.4808197</v>
      </c>
      <c r="D1084" s="32">
        <f t="shared" ref="D1084" si="1597">(B1084/B1083)-1</f>
        <v>1.4133414613848982E-2</v>
      </c>
    </row>
    <row r="1085" spans="1:7" x14ac:dyDescent="0.3">
      <c r="A1085" s="127" t="s">
        <v>1208</v>
      </c>
      <c r="B1085" s="30">
        <v>96944353278.417679</v>
      </c>
      <c r="C1085" s="30">
        <f t="shared" ref="C1085" si="1598">B1085-B1084</f>
        <v>-4891733.1972351074</v>
      </c>
      <c r="D1085" s="32">
        <f t="shared" ref="D1085" si="1599">(B1085/B1084)-1</f>
        <v>-5.0456640447782419E-5</v>
      </c>
    </row>
    <row r="1086" spans="1:7" x14ac:dyDescent="0.3">
      <c r="A1086" s="128" t="s">
        <v>1210</v>
      </c>
      <c r="B1086" s="30">
        <v>97520419103.42601</v>
      </c>
      <c r="C1086" s="30">
        <f t="shared" ref="C1086" si="1600">B1086-B1085</f>
        <v>576065825.0083313</v>
      </c>
      <c r="D1086" s="32">
        <f t="shared" ref="D1086" si="1601">(B1086/B1085)-1</f>
        <v>5.942231863200087E-3</v>
      </c>
    </row>
    <row r="1087" spans="1:7" x14ac:dyDescent="0.3">
      <c r="A1087" s="129" t="s">
        <v>1211</v>
      </c>
      <c r="B1087" s="30">
        <v>98382506579.44458</v>
      </c>
      <c r="C1087" s="30">
        <f t="shared" ref="C1087" si="1602">B1087-B1086</f>
        <v>862087476.01856995</v>
      </c>
      <c r="D1087" s="32">
        <f t="shared" ref="D1087" si="1603">(B1087/B1086)-1</f>
        <v>8.8400714839451666E-3</v>
      </c>
    </row>
    <row r="1088" spans="1:7" x14ac:dyDescent="0.3">
      <c r="A1088" s="130" t="s">
        <v>1212</v>
      </c>
      <c r="B1088" s="30">
        <v>98889683641.455231</v>
      </c>
      <c r="C1088" s="30">
        <f t="shared" ref="C1088" si="1604">B1088-B1087</f>
        <v>507177062.01065063</v>
      </c>
      <c r="D1088" s="32">
        <f t="shared" ref="D1088" si="1605">(B1088/B1087)-1</f>
        <v>5.1551549116213291E-3</v>
      </c>
    </row>
    <row r="1089" spans="1:7" x14ac:dyDescent="0.3">
      <c r="A1089" s="131" t="s">
        <v>1213</v>
      </c>
      <c r="B1089" s="30">
        <v>100133898048.65924</v>
      </c>
      <c r="C1089" s="30">
        <f t="shared" ref="C1089" si="1606">B1089-B1088</f>
        <v>1244214407.20401</v>
      </c>
      <c r="D1089" s="32">
        <f t="shared" ref="D1089" si="1607">(B1089/B1088)-1</f>
        <v>1.2581842325587456E-2</v>
      </c>
    </row>
    <row r="1090" spans="1:7" x14ac:dyDescent="0.3">
      <c r="A1090" s="132" t="s">
        <v>1214</v>
      </c>
      <c r="B1090" s="30">
        <v>102199638907.2356</v>
      </c>
      <c r="C1090" s="30">
        <f t="shared" ref="C1090" si="1608">B1090-B1089</f>
        <v>2065740858.576355</v>
      </c>
      <c r="D1090" s="32">
        <f t="shared" ref="D1090" si="1609">(B1090/B1089)-1</f>
        <v>2.0629785705261527E-2</v>
      </c>
      <c r="E1090" s="37">
        <v>700000000</v>
      </c>
      <c r="F1090" s="40" t="s">
        <v>182</v>
      </c>
      <c r="G1090" s="132" t="s">
        <v>5</v>
      </c>
    </row>
  </sheetData>
  <mergeCells count="5">
    <mergeCell ref="C1:D1"/>
    <mergeCell ref="H615:I615"/>
    <mergeCell ref="H616:I616"/>
    <mergeCell ref="J616:L616"/>
    <mergeCell ref="J615:L615"/>
  </mergeCells>
  <phoneticPr fontId="11" type="noConversion"/>
  <conditionalFormatting sqref="D1:D1048576">
    <cfRule type="cellIs" dxfId="1" priority="7" operator="lessThan">
      <formula>0</formula>
    </cfRule>
    <cfRule type="cellIs" dxfId="0" priority="8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heydari</dc:creator>
  <cp:lastModifiedBy>Ali Heydari</cp:lastModifiedBy>
  <dcterms:created xsi:type="dcterms:W3CDTF">2015-06-05T18:17:20Z</dcterms:created>
  <dcterms:modified xsi:type="dcterms:W3CDTF">2026-08-17T19:20:39Z</dcterms:modified>
</cp:coreProperties>
</file>